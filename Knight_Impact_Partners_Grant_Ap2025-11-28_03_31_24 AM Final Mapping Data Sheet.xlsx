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arkARodriguez\Documents\Personal\KIP\"/>
    </mc:Choice>
  </mc:AlternateContent>
  <xr:revisionPtr revIDLastSave="0" documentId="8_{E099D18B-6D47-4ACA-8C2C-46A7C0403206}" xr6:coauthVersionLast="47" xr6:coauthVersionMax="47" xr10:uidLastSave="{00000000-0000-0000-0000-000000000000}"/>
  <bookViews>
    <workbookView xWindow="57480" yWindow="-120" windowWidth="29040" windowHeight="15720" xr2:uid="{00000000-000D-0000-FFFF-FFFF00000000}"/>
  </bookViews>
  <sheets>
    <sheet name="KIP Grants" sheetId="1" r:id="rId1"/>
    <sheet name="Legacy &amp; Special Initiatives" sheetId="2" r:id="rId2"/>
  </sheets>
  <definedNames>
    <definedName name="_xlnm._FilterDatabase" localSheetId="0" hidden="1">'KIP Grants'!$C$1:$BR$82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 l="1"/>
  <c r="E28" i="2" s="1"/>
  <c r="E31" i="2"/>
  <c r="BO81" i="1"/>
  <c r="BS82" i="1"/>
  <c r="BT82" i="1"/>
  <c r="BT78" i="1"/>
  <c r="D25" i="2"/>
</calcChain>
</file>

<file path=xl/sharedStrings.xml><?xml version="1.0" encoding="utf-8"?>
<sst xmlns="http://schemas.openxmlformats.org/spreadsheetml/2006/main" count="3303" uniqueCount="1609">
  <si>
    <t>Submission Date</t>
  </si>
  <si>
    <t>Email</t>
  </si>
  <si>
    <t>Organization Name:</t>
  </si>
  <si>
    <t>Tax ID:</t>
  </si>
  <si>
    <t>Address (Line 1):</t>
  </si>
  <si>
    <t>Address (Line 2):</t>
  </si>
  <si>
    <t>City:</t>
  </si>
  <si>
    <t>State:</t>
  </si>
  <si>
    <t>Postal Code:</t>
  </si>
  <si>
    <t>Website:</t>
  </si>
  <si>
    <t>First Name:</t>
  </si>
  <si>
    <t>Last Name:</t>
  </si>
  <si>
    <t>Title:</t>
  </si>
  <si>
    <t>Email Address:</t>
  </si>
  <si>
    <t>Phone Number:</t>
  </si>
  <si>
    <t>Year Founded:</t>
  </si>
  <si>
    <t># of Paid Full Time Staff:</t>
  </si>
  <si>
    <t># of Paid Part Time Staff:</t>
  </si>
  <si>
    <t># of Volunteers:</t>
  </si>
  <si>
    <t>Demographic Data on Staff/Board:</t>
  </si>
  <si>
    <t>Organization Mission &amp; Vision Statements:</t>
  </si>
  <si>
    <t>Fiscal Year: Start date</t>
  </si>
  <si>
    <t>Fiscal Year: End date</t>
  </si>
  <si>
    <t>1. Program Name/Title (or N/A): </t>
  </si>
  <si>
    <t>2. Description of Your Organization/Program: Describe the primary focus, target population, key activities and organizational goals</t>
  </si>
  <si>
    <t>Amount Requested</t>
  </si>
  <si>
    <t>Knight Impact Partners Program Category: (Select applicable category)</t>
  </si>
  <si>
    <t>3. Success and Impact Measurement:</t>
  </si>
  <si>
    <t>7. Key Staff or Leadership Involved:</t>
  </si>
  <si>
    <t>4. Community Engagement:</t>
  </si>
  <si>
    <t>5. Partnerships and Collaboration:</t>
  </si>
  <si>
    <t>8. Equity, Inclusion, and Representation:</t>
  </si>
  <si>
    <t>6. Innovation and Systemic Impact:</t>
  </si>
  <si>
    <t>9. Financial Health and Sustainability:</t>
  </si>
  <si>
    <t>Top Three Existing and Anticipated Private Funding Sources</t>
  </si>
  <si>
    <t>Top Three Existing and Anticipated Public Funding Sources</t>
  </si>
  <si>
    <t>Suburbs &gt;&gt; Cook CountyExample: Evanston, Oak Park, Skokie, Des Plaines, Arlington Heights, Tinley Park, Cicero, Palatine, Orland Park, Schaumburg &gt;&gt; Check if this applies</t>
  </si>
  <si>
    <t>Suburbs &gt;&gt; Cook CountyExample: Evanston, Oak Park, Skokie, Des Plaines, Arlington Heights, Tinley Park, Cicero, Palatine, Orland Park, Schaumburg &gt;&gt; Percentage</t>
  </si>
  <si>
    <t>Suburbs &gt;&gt; Lake CountyExample: Highland Park, Lake Forest, Libertyville, Waukegan, Gurnee, Vernon Hills, Buffalo Grove, Deerfield, Mundelein &gt;&gt; Check if this applies</t>
  </si>
  <si>
    <t>Suburbs &gt;&gt; Lake CountyExample: Highland Park, Lake Forest, Libertyville, Waukegan, Gurnee, Vernon Hills, Buffalo Grove, Deerfield, Mundelein &gt;&gt; Percentage</t>
  </si>
  <si>
    <t>Suburbs &gt;&gt; Will CountyExample: Joliet, Bolingbrook, Plainfield, New Lenox, Romeoville, Lockport &gt;&gt; Check if this applies</t>
  </si>
  <si>
    <t>Suburbs &gt;&gt; Will CountyExample: Joliet, Bolingbrook, Plainfield, New Lenox, Romeoville, Lockport &gt;&gt; Percentage</t>
  </si>
  <si>
    <t>Suburbs &gt;&gt; Kane CountyExample: Aurora (partially in DuPage), Elgin, St. Charles, Geneva, Batavia &gt;&gt; Check if this applies</t>
  </si>
  <si>
    <t>Suburbs &gt;&gt; Kane CountyExample: Aurora (partially in DuPage), Elgin, St. Charles, Geneva, Batavia &gt;&gt; Percentage</t>
  </si>
  <si>
    <t>Suburbs &gt;&gt; McHenry CountyExample: Crystal Lake, Woodstock, McHenry, Algonquin, Huntley &gt;&gt; Check if this applies</t>
  </si>
  <si>
    <t>Suburbs &gt;&gt; McHenry CountyExample: Crystal Lake, Woodstock, McHenry, Algonquin, Huntley &gt;&gt; Percentage</t>
  </si>
  <si>
    <t>Suburbs &gt;&gt; Kendall CountyExample: Oswego, Yorkville, Plano, Montgomery &gt;&gt; Check if this applies</t>
  </si>
  <si>
    <t>Suburbs &gt;&gt; Kendall CountyExample: Oswego, Yorkville, Plano, Montgomery &gt;&gt; Percentage</t>
  </si>
  <si>
    <t>Age</t>
  </si>
  <si>
    <t>What is your primary target age group?</t>
  </si>
  <si>
    <t>Race / Ethnicity - Check all applicable groups that represent a significant (approx. 20% or more) portion of the population served by your organization.</t>
  </si>
  <si>
    <t>Gender Identity - Check all applicable groups that represent a significant (approx. 20% or more) portion of the population served by your organization.</t>
  </si>
  <si>
    <t>Low Income % of constituents</t>
  </si>
  <si>
    <t>Attachments (Required)</t>
  </si>
  <si>
    <t>Optional Attachments</t>
  </si>
  <si>
    <t>What percentage of your current total organizational budget is public versus private?</t>
  </si>
  <si>
    <t>Please list the specific primary Chicago neighborhoods/communities where the organization does at least 10% of its work</t>
  </si>
  <si>
    <t>Neighborhood</t>
  </si>
  <si>
    <t>Neighborhood 2</t>
  </si>
  <si>
    <t>Nov 26, 2025</t>
  </si>
  <si>
    <t>info@sscoh.org</t>
  </si>
  <si>
    <t>Southside Center of Hope</t>
  </si>
  <si>
    <t>N/A</t>
  </si>
  <si>
    <t>Chicago</t>
  </si>
  <si>
    <t>IL</t>
  </si>
  <si>
    <t>60624</t>
  </si>
  <si>
    <t>Executive Director</t>
  </si>
  <si>
    <t>1983</t>
  </si>
  <si>
    <t>4</t>
  </si>
  <si>
    <t>Human Services</t>
  </si>
  <si>
    <t>Check if this applies</t>
  </si>
  <si>
    <t>100</t>
  </si>
  <si>
    <t>0 - 19 years old
20 - 39 years old
40 - 59 years old
60 years or older</t>
  </si>
  <si>
    <t>100%</t>
  </si>
  <si>
    <t>Oct 23, 2025</t>
  </si>
  <si>
    <t>andraya.yousfi@bythehand.org</t>
  </si>
  <si>
    <t>By The Hand Club For Kids</t>
  </si>
  <si>
    <t>203144284</t>
  </si>
  <si>
    <t>C/O By The Hand Club For Kids</t>
  </si>
  <si>
    <t>415 N Laramie Ave</t>
  </si>
  <si>
    <t>60644</t>
  </si>
  <si>
    <t>bythehand.org</t>
  </si>
  <si>
    <t>Andraya</t>
  </si>
  <si>
    <t>Yousfi</t>
  </si>
  <si>
    <t>Chief of Partnerships and Development</t>
  </si>
  <si>
    <t>7735123382</t>
  </si>
  <si>
    <t>Donnita</t>
  </si>
  <si>
    <t>Travis</t>
  </si>
  <si>
    <t>President and Chief Executive Officer</t>
  </si>
  <si>
    <t>donnita.travis@bythehand.org</t>
  </si>
  <si>
    <t>312-305-2622</t>
  </si>
  <si>
    <t>2001</t>
  </si>
  <si>
    <t>82</t>
  </si>
  <si>
    <t>78</t>
  </si>
  <si>
    <t>2,000 annually</t>
  </si>
  <si>
    <t>Board Demographic:
- 10 Males 
- 4 Females 
- 29% African American 
- 57% Caucasian
- 14% Hispanic  
Staff Demographics: 
- 31% Male (51% African American, 25% Hispanic, 22% Caucasian, 2% Asian)
- 69% Female (60% African American, 11% Hispanic, 28% Caucasian, 1% Asian) 
160 staff in total:
- 58% African American 
- 15% Hispanic
- 26% Caucasian 
- 1% Asian</t>
  </si>
  <si>
    <t>Transforming Communities. One Child at a Time.
Interrupting cycles of poverty, disinvestment, and hopelessness takes more than good intentions—it takes a long-term, holistic commitment. At By The Hand, transformation is happening every day—story by story, life by life, neighborhood by neighborhood.
Across some of Chicago’s most under-resourced communities, our students are being cared for and empowered—mind, body, and soul. Through access to critical human services, healthcare, educational pathways, and community-driven development, we are building a future where every child can thrive.
OUR VISION 
Helping children who live in under-resourced neighborhoods have abundant life.
OUR MISSION 
By The Hand is a Christ-centered, after-school program that takes kids by the hand and walks with them from kindergarten through college, loving and nurturing them—mind, body and soul. We love and nurture our kids through offering the following services:
- Technology-based reading
- Academic support and tutoring
- Enrichment activities: field trips, music and dance/art classes, media and digital arts
- Eye and dental care
- Hot, nutritious meals
- Counseling and social-emotional learning curriculum
- Mentoring and discipleship 
- College and career preparation, scholarships and post-secondary support 
- Care for the entire family through our Crisis and Compassion department</t>
  </si>
  <si>
    <t>Sep 1, 2025</t>
  </si>
  <si>
    <t>Aug 31, 2026</t>
  </si>
  <si>
    <t>College and Career</t>
  </si>
  <si>
    <t>By The Hand Club For Kids is a faith-based, after-school organization that serves more than 2,100 students across six locations in Chicago. We are intentionally located in neighborhoods facing the highest levels of economic hardship, as identified by the U.S. Census and the Area Deprivation Index. To ensure we reach the students with the greatest need, we partner directly with public schools within a mile of each site. These schools verify student income status using federal guidelines such as eligibility for free or reduced-price lunch. Across our partner schools, 85–99% of students are identified as low income, with an average of 95%. By embedding our services in these communities, we ensure consistent access to students and families who face the most significant barriers to opportunity.
Rooted in our mission to help children experience abundant life—mind, body, and soul—we provide holistic support beginning in early elementary school and continuing through young adulthood. Our programs offer academic tutoring, reading intervention, meals, health services, mentorship, spiritual development, and a continuum of support through high school graduation and beyond.
As students advance, they transition into our College and Career Readiness Program, which prepares them to succeed in college, career, and life. This program begins with personalized academic support, counseling through key transitions, and regular academic check-ins. Students are exposed to real-world opportunities through college visits, career talks, and entrepreneurship experiences at our youth-led produce market, Austin Harvest, and hydroponic farm, Bowen Harvest.
As seniors approach graduation, we provide hands-on support with FAFSA completion, financial literacy, college and trade school applications, and post-secondary decision-making. Each senior is paired with a mentor through our NXT Steps program, walking with them through their first year after high school. Students receive scholarships, campus visits to monitor progress, and support with essentials like résumé development, internships, and even transportation to college. Whether it’s moving a student into their dorm or connecting them to a first job, we remain a steady source of encouragement and accountability.
This school year, our College and Career Readiness Program will serve 350 high school students and 125 alumni enrolled in college, trade school, the military, or the workforce. New initiatives include ONU+, a partnership with Olivet Nazarene University that allows students to pursue college while staying rooted in their communities and connected to By The Hand support.
This work directly aligns with our organizational goal: that every student we serve would experience abundant life. We measure success through growth in three dimensions:
Mind: Students maintain a B average or higher, complete post-secondary education or training, gain meaningful work and volunteer experience, and give back to their communities.
Body: Students lead active, healthy lifestyles, avoid risky behaviors, demonstrate self-efficacy, and participate in leadership or advocacy.
Soul: Students develop a personal faith, apply it to life decisions, lead with integrity and compassion, and engage in their church or youth community.
By addressing academic achievement, health and wellness, workforce readiness, and spiritual development students are equipped to walk through those doors and thrive.</t>
  </si>
  <si>
    <t>50,000</t>
  </si>
  <si>
    <t>Education</t>
  </si>
  <si>
    <t>By The Hand Club measures success through a blend of quantitative data and qualitative evidence to ensure students are not only accessing opportunities but are thriving—academically, emotionally, professionally, and spiritually. These metrics directly align with our organizational goal that every student experiences abundant life in mind, body, and soul.
Quantitative Metrics:
- To track progress and outcomes, we collect and monitor the following data at every stage of the student journey:
- Academic and Post-Secondary Outcomes
- High school graduation rates
- Post-secondary matriculation (college, trade school, military, or workforce)
- Post-secondary persistence and completion
- College and Career Readiness Participation
- Number of high school students receiving post-secondary planning and case management
- Number of completed FAFSA submissions, applications, and financial aid plans
- Attendance at college tours, career fairs, entrepreneurship programs (Austin Harvest, Bowen Harvest), and career exposure events
- Hours of academic advising, job training, financial literacy instruction, and mentorship provided
Employment and Workforce Development:
- Number of students employed through By The Hand programs and partners
- Internship placements, job placements, and workforce preparation hours completed
Social-Emotional and Wellness Support:
- Number of counseling sessions, crisis interventions, and wellness checks provided
- Participation in enrichment activities for middle and high school students
Qualitative Measures:
- Alumni Surveys and Interviews: Measuring personal fulfillment, self-efficacy, leadership, career satisfaction, faith development, sense of purpose, and avoidance of risky behaviors
- Alumni Stories and Case Studies: Documenting meaningful moments—such as first-generation college enrollment, returning as mentors, or leading in their communities
- Ongoing Alumni Engagement: Participation in alumni Bible studies, mentoring programs, baby showers, family events, and informal gatherings that demonstrate lasting connection and holistic well-being
Tracking Milestones and Progress:
We track progress through a centralized data system and staff case management reports. Key milestones include:
- Junior year: completion of individualized post-secondary plan
- Senior year: FAFSA completion, 100% post-secondary application submissions, NXT Steps mentor pairing
- High school graduation and summer transition
- First-year post-secondary persistence
- Degree, trade certification, or military completion
Program leaders and site directors meet weekly to review data, adjust support plans, and identify students who need additional intervention to keep them on track.</t>
  </si>
  <si>
    <t>Donnita Travis – Founder and Chief Executive Officer
Donnita Travis founded By The Hand Club For Kids in 2001 after a successful career as the owner and creative director of a Chicago-based advertising agency. With more than 25 years of leadership at By The Hand, she has built an organization that is both deeply people-focused and results-driven. Under her vision and guidance, By The Hand has grown from serving 16 children to more than 2,100 annually, providing holistic, high-quality programs that help break cycles of poverty. Donnita’s entrepreneurial background, strategic leadership, and unwavering commitment to children’s well-being have shaped a culture of innovation, accountability, and compassionate care—ensuring that every student is seen, supported, and equipped to thrive.
Bethany Arvan – Director of College and Career Support
Bethany Arvan has served at By The Hand Club For Kids for over 21 years and leads the College and Career Support team with deep expertise and relational commitment. In her role, she walks alongside alumni through their post-secondary journeys—providing academic coaching, FAFSA and financial aid guidance, wellness checks, care packages, and social-emotional support. Bethany oversees alumni case management, ensures retention in college and career pathways, and builds systems that help students persist through challenges and reach graduation. Her longevity, holistic approach, and unwavering dedication make her a cornerstone of our students’ success beyond high school.
Rebecca Bognet – Director of College and Career Readiness
Rebecca Bognet leads By The Hand’s College and Career Readiness program, overseeing all high school preparation efforts that equip students for post-secondary success. She manages academic support, career exposure, standardized test readiness, post-secondary planning, and transition coaching for hundreds of high school students each year. Rebecca ensures every junior has a personalized post-secondary plan and that every senior completes college, trade school, or military applications, FAFSA, and financial aid requirements. Through her leadership, students gain the academic confidence, life skills, and vision they need to take the next step toward college and meaningful careers.</t>
  </si>
  <si>
    <t>At By The Hand Club For Kids, community engagement begins with relationships. Every student’s journey starts with a family’s choice—enrollment is voluntary, personal, and rooted in trust. We believe families are not just participants in our work—they are our partners. From the first home visit or school referral, we make it clear that we are walking with families, not directing them.
Families consistently express their hopes for their children: opportunity, stability, safety, and a chance to reach their full potential. Our role is to come alongside them and help make those goals possible. Each student has an individualized plan created collaboratively with the students and caregivers, built around the child’s strengths, challenges, and aspirations. Our supports—literacy interventions, tutoring, mentoring, counseling, enrichment classes, and transition planning—are aligned to help the student and family’s vision become reality.
This partnership continues throughout the child’s journey at By The Hand. We regularly gather feedback through home visits, phone check-ins, parent nights, surveys, and community meetings. This input shapes our programming in real and practical ways. For example, through focus groups, surveys and student input we developed our Central Austin Campus design and programming including adding Austin Harvest, family cooking enrichment classes and outdoor play spaces directly as a result of student and family feedback.</t>
  </si>
  <si>
    <t>Partnerships are essential to the success and impact of this project. By The Hand collaborates with a broad network of more than 50 corporations, universities, nonprofits, and community organizations that help us deliver high-quality, real-world opportunities for students.
Corporate partners provide mentorship, job training, career exposure, internships, and employment opportunities. Professionals from these organizations volunteer as mentors, host site visits, offer internships, lead career workshops, and hire students into part-time and full-time roles. These partnerships help students build networks, develop workforce skills, and envision meaningful career pathways.
A key innovation is our new partnership launching this fall with Olivet Nazarene University, which has established By The Hand’s Cabrini-Green site as a satellite college campus. Through this collaboration, students can live at home while pursuing their bachelor’s degrees through taking accredited online classes while remaining rooted in their communities. By The Hand alumni attend classes together, receive academic and emotional support from BTH staff, and experience college in a relational, trauma-informed environment. Olivet provides reduced tuition, additional scholarships, and financial aid—removing significant financial and geographic barriers to higher education.</t>
  </si>
  <si>
    <t>Equity and inclusion are foundational to By The Hand Club For Kids—both in how we serve students and in how we lead and operate as an organization. Because we exist to serve children from under-resourced communities who face systemic barriers to opportunity, our programs are intentionally designed to remove inequities. This begins with access: students enroll at no cost, transportation is provided to and from school, daily meals are served, and holistic supports—such as tutoring, mental health counseling, health services, vision and dental care, and enrichment opportunities—are offered to ensure every student, regardless of background or circumstance, can thrive.
Our leadership and staff reflect the communities we serve, with a significant percentage of team members coming from the same neighborhoods—or even the same classrooms—as our students. Many staff are alumni of By The Hand themselves, bringing lived experience and cultural understanding into decision-making, mentorship, and program design. We invest heavily in ongoing staff development in trauma-informed care, cultural humility and restorative justice practices to ensure our team is equipped to serve students with dignity and respect.
We incorporate family and student voice at every stage. Enrollment starts with a home visit, where parents share their hopes and needs. From there, students receive individualized plans developed in partnership with caregivers. Program adjustments are made in response to feedback gathered during home visits, parent meetings, surveys, student advisory groups, and alumni check-ins. 
At the operational level, we continually track academic performance, and post-secondary outcomes to identify gaps and ensure resources are distributed equitably. Decisions—from staffing to programming to partnerships—are made through the lens of what will remove barriers and increase opportunity for the most vulnerable students.</t>
  </si>
  <si>
    <t>By The Hand addresses the root causes of educational inequity with an approach that is both innovative and systemic in nature. While many youth programs serve students for short periods or focus on a single developmental stage, our model is built on long-term, relational commitment. We enroll students as early as kindergarten and walk with them through high school, college, and into young adulthood—providing academic, social-emotional, spiritual, and career support along every step of the journey. This continuum of care challenges conventional program structures and creates a pipeline from childhood to career that breaks cycles of poverty, instability, and removes barriers that keep children from developing and reaching their hopes and dreams. 
One of the most innovative components of this pipeline is our College and Career Readiness Program, which prepares students not only to access higher education but to persist through it and graduate. Recognizing that systemic barriers—such as financial hardship, transportation, caregiving responsibilities, and lack of relational support—often derail first-generation college students, we designed solutions that address these obstacles head-on.
A key example is our partnership with Olivet Nazarene University (ONU+). Together, we developed a satellite college campus at our Cabrini-Green site, offering a completely new pathway to a four-year degree. This model allows By The Hand alumni to earn an accredited bachelor’s degree through Olivet’s online programs while remaining at home. Students take classes in community with one another, receive academic coaching and emotional support from By The Hand staff, and benefit from scholarships and financial aid tailored to reduce economic barriers. This hybrid approach reimagines higher education—not as something students must leave their communities to access, but something that can be delivered within the community, supported by trusted relationships.
This model challenges long-standing educational systems by reducing geographic and financial barriers to college, while providing culturally responsive, trauma-informed support throughout the entire college journey—not just before it begins. Additionally, for our students who do seek traditional college experiences we do quarterly check-ins, help with moving on and off campus, troubleshoot financial barriers by providing scholarships and financial support and counseling and resources to address the real emotional challenges that many young people are facing. 
Lastly, we have incredible career partners, we connect our students to the many trade programs here in Chicago and 100% of our students who have entered a trade program have completed their programs. Illinois has incredible trade programs that offer help with costs, transportation, tutoring etc, these programs combined with By The Hand support allow for a tremendously impactful result.  
By aligning K–12 programming, workforce development, and higher education into one seamless pathway, it creates a replicable model for first-generation students to earn degrees and pursue meaningful careers without being separated from their support systems.
Through these innovations, By The Hand is not just preparing individual students for success—we are reshaping what post-secondary access and completion can look like in under-resourced communities. This work is creating systemic impact by proving that when long-term relationships, community-based support, and education systems align, students not only enroll in higher education—they graduate, lead, and change their communities from within.</t>
  </si>
  <si>
    <t>By The Hand Club For Kids maintains strong financial stability through a diverse funding base, disciplined financial management practices, and a commitment to long-term sustainability despite year-over-year growth. Our funding model intentionally avoids over-reliance on any single source, ensuring resilience during economic fluctuations and enabling strategic growth in service to students.
Our revenue is distributed across a broad range of supporters:
- 51% Individuals – A deep network of committed donors provides consistent annual support.
- 18% Corporations – Corporate partners contribute through sponsorships, employee giving, grants, and volunteer engagement.
- 11% Foundations – Private and family foundations invest in both general operations and program-specific initiatives.
- 8% Release from Restrictions – Multi-year pledges and restricted gifts are strategically allocated to program needs.
- 6% Rent and earned income – Including rental income from community partners using our facilities.
- 4% Government grants – This grant covers our daily dinner program
- 1% Churches and 1% Other sources – Faith communities and miscellaneous revenue provide additional support.
We follow strong financial stewardship principles, including:
- Annual independent audits and board-level financial oversight
- A conservative budgeting process and multi-year financial forecasting
- Operating reserves to protect against unforeseen financial challenges
- Detailed tracking of program costs and outcomes
To sustain and grow our work long term, By The Hand prioritizes strong donor retention and cultivation, particularly among individual supporters who make up more than half of our funding. We actively seek multi-year commitments from foundations and corporations to ensure stable operating support and invest in strategic partnerships—such as our college initiative with Olivet Nazarene University—which combine philanthropy, scholarships, and cost-sharing to reduce program expenses.</t>
  </si>
  <si>
    <t>Jewel Osco- $50,000 for workforce development 
Kenilworth Union Church - $50,000 for Bowen Harvest/workforce development 
Mcdonald's through the Chicago Community Trust - $50,000 Workforce Development</t>
  </si>
  <si>
    <t>Currently, By The Hand does not receive public funding besides for our daily dinner program. Our workforce development program was included in a federal appropriation request for a one-time $1 million investment, submitted by Congresswoman Robin Kelly that would allow us to expand and broaden our reach with our youth entrepreneurship programs specifically in Altgeld Gardens. However, the funding  remains pending due to the delays in the federal budget process.</t>
  </si>
  <si>
    <t>0 - 19 years old
20 - 39 years old</t>
  </si>
  <si>
    <t>Kindergarten - 25 yrs old.</t>
  </si>
  <si>
    <t>Black / African American
Latino/x/e / Hispanic</t>
  </si>
  <si>
    <t>Prefer not to say</t>
  </si>
  <si>
    <t>95%</t>
  </si>
  <si>
    <t>https://www.jotform.com/uploads/Sol_Flores_sflores/242752736237461/6370422333611215281/FY26%20General%20Operating%20Budget%20%281%29.pdf
https://www.jotform.com/uploads/Sol_Flores_sflores/242752736237461/6370422333611215281/Knight%20FY26%20NXT%20Budget%20%281%29.pdf
https://www.jotform.com/uploads/Sol_Flores_sflores/242752736237461/6370422333611215281/BTH%20501c3%203-2020.pdf
https://www.jotform.com/uploads/Sol_Flores_sflores/242752736237461/6370422333611215281/FY26%20BTH%20Board%20Of%20Directors.pdf
https://www.jotform.com/uploads/Sol_Flores_sflores/242752736237461/6370422333611215281/By-The-Hand-Annual-Report-2024.pdf
https://www.jotform.com/uploads/Sol_Flores_sflores/242752736237461/6370422333611215281/By-The-Hand-Club-For-Kids_TY23-FY24-Fed990-public-disclosure-copy.pdf
https://www.jotform.com/uploads/Sol_Flores_sflores/242752736237461/6370422333611215281/_FY26%20NXT%20Leadership.pdf</t>
  </si>
  <si>
    <t>https://www.jotform.com/uploads/Sol_Flores_sflores/242752736237461/6370422333611215281/Knight%20Proposal%20Oct%202025%20%281%29.pdf</t>
  </si>
  <si>
    <t>96% Private, 4% public (dinner program).</t>
  </si>
  <si>
    <t>Austin (Central and North Austin including schools in Belmont-Cragin and Hermosa), Englewood, Cabrini-Green and Altgeld Gardens</t>
  </si>
  <si>
    <t>Austin</t>
  </si>
  <si>
    <t>Jul 24, 2025</t>
  </si>
  <si>
    <t>Chicago South Side Birth Center</t>
  </si>
  <si>
    <t>87-1221956</t>
  </si>
  <si>
    <t>PO Box</t>
  </si>
  <si>
    <t>436913</t>
  </si>
  <si>
    <t>Illinois</t>
  </si>
  <si>
    <t>60643</t>
  </si>
  <si>
    <t>www.chicagosouthsidebirthcenter.org</t>
  </si>
  <si>
    <t>Jeanine</t>
  </si>
  <si>
    <t>Logan</t>
  </si>
  <si>
    <t>Founder &amp; Lead Steward</t>
  </si>
  <si>
    <t>jeanine@chicagosouthsidebirthcenter.org</t>
  </si>
  <si>
    <t>7737916462</t>
  </si>
  <si>
    <t>Lesley</t>
  </si>
  <si>
    <t>Kennedy</t>
  </si>
  <si>
    <t>Director of Strategy &amp; Organizational Development</t>
  </si>
  <si>
    <t>lesley@chicagosoouthsidebirthcenter.org</t>
  </si>
  <si>
    <t>7738187528</t>
  </si>
  <si>
    <t>2021</t>
  </si>
  <si>
    <t>5</t>
  </si>
  <si>
    <t>0</t>
  </si>
  <si>
    <t>21</t>
  </si>
  <si>
    <t>Chicago South Side Birth Center’s operations team is made up of five women, four who are Black and one who is Korean American.  We are 100% reflective of the communities in which we serve; embodying the very definition of culturally concordant care. 
CSSBC currently has six board members, of which,  one hundred percent are Black Women, with some identifying as Queer. Our board of directors is comprised of community members, birthing people, and community leaders, thereby reflecting the client base we seek to serve.</t>
  </si>
  <si>
    <t>Chicago South Side Birth Center’s mission is to provide concordant, culturally centered, evidence-based midwifery care alongside families and within the community to improve outcomes, promote wellness, and abundance in whole health. Lastly, we aim to grow intergenerational wellness across the South Side through our community health education, ongoing community engagement, and learning offerings and training to those interested in the fields of health, midwifery, and collective wellness. We envision CSSBC will be a space for collective community healing, joy, and liberation.
The Chicago South Side Birth Center will be a freestanding birth center, have a home-like atmosphere, and will be centered within the healthcare system. Birth Centers focus on a program of care designed in the “wellness model” of pregnancy and birth guided by principles of prevention, sensitivity, safety, appropriate medical intervention, and cost effectiveness. Chicago South Side Birth Center will comprise a team of highly qualified professionals that include midwives, nurses, a physician collaborator, pediatricians, nutritionists, social workers, along with childbirth and postpartum doulas and educators. Lastly, CSSBC will offer perinatal mental health services to ensure that women have the tools and resources needed during and after their transition to parenthood.</t>
  </si>
  <si>
    <t>Jan 1, 2025</t>
  </si>
  <si>
    <t>Dec 30, 2025</t>
  </si>
  <si>
    <t>Chicago South Side Birth Center (CSBBC) is a non-profit, independent, Black midwife-led Birth Center located on the South Side of Chicago. We aim to offer a low-risk option for birth and mixed risk option for reproductive health care for people in their own neighborhood and community. We hope to be an answer to the lack of care options currently available on the south side as well as a solution to the disparate maternal and child health rates among Black birthing people and children on the South Side. 
With only three hospitals on the South Side providing maternity services, the lack of access to prenatal, birth, and postpartum services are tremendous. Without proper intervention and care, rates of infant and maternal morbidity will increase, and access will continue to be a barrier. It is our goal of the Chicago South Side Birth Center to disrupt these maternal health outcomes for Black birthing people and their families across the city’s South Side. 
The mission of Chicago South Side Birth Center is to provide concordant, culturally centered, evidence-based midwifery care alongside families and within the community to improve outcomes, promote wellness, and abundance in whole health. Lastly, we aim to grow intergenerational wellness across the South Side through our community health education, ongoing community engagement, and learning offerings to those interested in the fields of health, midwifery, and collective wellness. 
The goals and plan for the Chicago South Side Birth Center include:
Increasing the number of birth options available to birthing people on the South Side of Chicago,
Addressing the disparities and inequities in maternal and infant outcomes in Chicago from before the time a person gets pregnant,
Providing full-spectrum, evidenced-based maternity, gynecological, family planning and postpartum care utilizing a midwifery care model,
Creating a liberatory space that affirms the experience, autonomy, identity, healing, self-determination, and liberation of Black birthing people, their families, and communities.
Chicago South Side Birth Center will improve the health disparities of pregnant people and babies on the South Side of Chicago by:
Improving access to care
Promoting low-intervention births
Providing culturally centered and concordant care
Cultivating and empowering Black mothers and birthing people as partners in their own healthcare
Providing educational workshops to engage and partner with community in our efforts to improve birth and overall health outcomes</t>
  </si>
  <si>
    <t>$100,000</t>
  </si>
  <si>
    <t>Health</t>
  </si>
  <si>
    <t>To evaluate the impact of the CSSBC on maternal and infant health outcomes, an evaluation plan
has been developed in partnership with CSSBC's Lead Steward1
. This evaluation plan aims to track key
process and outcome objectives annually from program year 2025 through 2027. These process and
outcome objectives were derived from internal program goals and the American Association of Birth
Center (AABC) perinatal quality outcome indicators. A survey instrument will also be utilized to collect
data on Patient Reported Experience of Care (PREM) and satisfaction. The analysis plan includes the
generation of descriptive statistics to measure the socio-behavioral and medical characteristics of the
CSSBC clients, achievement of the CSSBC’s process objectives, as well as core perinatal quality
outcomes. Likewise descriptive statistics will be generated for PREM and satisfaction. Perinatal
outcomes among CSSBC’s Black birthing clients insured by Medicaid will be compared with Illinois
PRAMS and birth data for Black individuals covered by Medicaid. Overall, the evaluation will guide
CSSBC’s programmatic efforts to improve the experience of pregnancy, birth, and postpartum care for
Black families, a key step towards advancing birth equity.</t>
  </si>
  <si>
    <t>JEANINE VALRIE LOGAN 
Founder and Lead Steward
Jeanine Valrie Logan is a relentless advocate for birth equity, dedicating her career to addressing disparities in Black maternal health. Jeanine is currently spearheading the creation of the Chicago South Side Birth Center, a nonprofit, midwife-led, culturally concordant, and community-focused haven for expectant mothers and birthing people on Chicago's South Side. She is also the current Leader in Residence at the philanthropic organization Chicago Beyond, where Jeanine receives funding and strategic support to successfully launch the Chicago South Side Birth Center.
In August 2021, Jeanine played a pivotal role in the passage of Illinois House Bill 738, a significant legislative milestone aiming to expand access to birth centers throughout the City of Chicago. As a Certified Nurse Midwife and lactation specialist with a robust background in public health and reproductive health policy, Jeanine's expertise has been instrumental in shaping policies that prioritize maternal well-being.
A passionate birth justice activist, Jeanine is a vocal speaker on topics ranging from breastfeeding and birth justice to the pivotal roles of doulas and midwives in the Black community. Co-editor of the book "Free to Breastfeed: Voices of Black Mothers," she contributes to the narrative of empowerment and choice for Black mothers.
Beyond her professional pursuits, Jeanine is a wife and mother of three remarkable Empresses, all born out-of-hospital, reflecting her commitment to the principles she advocates. In her spare time, she channels her creativity into art, crafts herbal medicines, forages plants, and passionately engages in #herbalist pursuits. Jeanine Valrie Logan embodies the spirit of change, working collectively with birth workers of color and allies to dismantle birth inequity and bring about transformative progress in maternal healthcare.
Lesley Kennedy
Director of Strategy and Organization Development
Motivated by her deep understanding of the benefits of human connection, Lesley Kennedy has dedicated her 20+year career to helping strengthen Chicago’s non-profit sector. Lesley owns and operates a thriving consulting practice primarily focused on organization development, culture improvement, and leadership coaching. 
Prior to consulting full-time, Lesley most recently served as Chief Equity Officer for Girl Scouts of Greater Chicago and Northwest Indiana and was previously Director of Strategy and Organization Development at Cabrini Green Legal Aid (CGLA), supporting the organization’s internal culture and strategic direction. Lesley served as Youth &amp; Opportunity United’s Chief Program Officer, leading the development of Y.O.U. 's long-term program strategy and oversaw the daily impact of more than 50 staff members across 11 program sites. 
Lesley brings an extraordinary breadth and depth of experience to the sector. She joined Y.O.U. following five years as a Senior Program Officer at the Robert R. McCormick Foundation, where she pioneered and managed the Foundation’s Child and Youth Education and Health and Wellness Portfolios. Prior to McCormick, Lesley served for seven years as the Executive Director of the Chicago Girls’ Coalition, a Chicago-based non-profit that provided capacity building and technical assistance to girl-serving organizations and programs. Lesley led McCormick Foundation’s integration of a racial equity lens to their giving as well as pioneered racial equity all-staff training at Y.O.U. and CGLA. In 2018, Lesley contributed as an Advisory Committee member to Equity in the Center’s report: Awake to Woke to Work: Building a Race Equity Culture. 
Lesley has a master’s degree in Social Service Administration from the University of Chicago and a bachelor’s degree in English and Women’s Studies from Stephens College. Lesley has guest lectured on inclusive leadership at University of Chicago’s Crown Family School of Social Work, Policy and Practice and Loyola University’s Quinlan School of Business. Lesley's commitment to birth equity is demonstrated over the past ten years as an advisory board member for PCC Community Health Center, board member for Chicago South side Birth Center, certified lactation counselor, birth educator, and student midwife. She happily lives on the south side of Chicago with her husband and three young people.
Positions to join the CSSBC team in Q1 2024:
Community Building and Education Coordinator
Communications Coordinator
Administrative Coordinator</t>
  </si>
  <si>
    <t>Another major goal of CSSBC is creating a liberatory space that affirms the experience, autonomy, identity, healing, self-determination, and liberation of Black birthing people, their families, and communities. Although we will serve clients of all demographics, our work at CSSBC will center Black people. CSSBC believes birth justice in praxis involves the centering of Black birthing people, Black experiences, and Black healing practices. As Black birthing people, we believe we know what is best for us individually as well as collectively. We believe Black people have the solutions and technology to create our own liberation—specifically our freedom and autonomy regarding birth, parenting, and healing. 
We envision CSSBC as a home that embodies these ideals and that cultivates and empowers Black women and birthing people as partners in their own healthcare. We see our role in providing culturally relevant access to safe midwifery care as a commitment to the larger social justice movement and informs our resistance and organization. Understanding this role, we further see Chicago South Side Birth Center not as a reactionary response to systemic oppression and white supremacy but as a necessary entity—a literal space—that exists to build community, heal, and liberate.
As part of its planning and development, CSSBC distributed an online 23-question community survey to understand the community's perspective on building and utilizing a birth center on the South Side. There were nearly 100 community members who responded. The survey questions assessed respondents’ knowledge of midwives and birth centers; their ideal provider and birthing experiences; attitudes towards freestanding birth centers and their demographic information was collected. There were also open-ended questions, which allowed respondents to share their feelings about their birth experiences and any additional information they wanted the planners to know. Descriptive analysis was conducted to assess the needs, desires, and experiences of the respondents.
To examine the community’s interest in a local birth center, CSSBC also held a focus group. The objectives of the focus group were to gauge community interest, collect input about the types of services the participants believed would fill current gaps in care and gather ideas that would enhance the quality of the birth center. 
The focus group was guided by the principles of liberatory design; an approach to addressing inequity and power imbalances in design processes. CSSBC endeavors to build relationships of trust with our community and expand the dialogue on how the birth center model of care can respond to health inequity.  Unlike traditional research methodologies that have a structured set of steps, liberatory design emphasizes giving voice to the participants and providing them a space to reflect and increase their agency in the design process. It also uses tools such as creative thinking and critical dialogue. Furthermore, liberatory design supports collaborative learning between researchers and communities and enhances communities’ capacity to equally participate in research. As a Black-led organization shaped by community voices, it is important to continue to create opportunities to understand the experiences, emotions, and motivations of the people we are planning to serve.</t>
  </si>
  <si>
    <t>Over the past two years, as we prepared to renovate the building that will house the Birth Center, CSSBC used the purchased building in its original form, which is a corner church. Our team opened the literal and figurative “doors of the church” to welcome community members for programming, partnership convenings, and tours of the future birth center, while intentionally incorporating their feedback into the physical and programmatic design of CSSBC. We have hosted city and state government officials, leaders in maternal child health, practitioners and community members. Most notably, for the past three years, CSSBC has hosted the annual Latch &amp; Stroll in the city park located adjacent to the Birth Center building. The Latch &amp; Stroll draws hundreds of community members and partners each year and continues to grow in scope. A main tenant of the event is to lead tours of the future birth center for community members to dispel myths, educate on who, what, how, and why a birth center in the community. We have developed programmatic partners with local organizations, Federally Qualified Health Centers, and community members which not only affirms the overall support we receive but allows us to provide services collaboratively across the south side.</t>
  </si>
  <si>
    <t>Equity, Inclusion, and representation are inherent to who we are and who we seek to serve. The mission of Chicago South Side Birth Center is to provide concordant, culturally centered, evidence-based midwifery care alongside families and within the community to improve outcomes, promote wellness, and abundance in whole health. We aim to grow intergenerational wellness across the South Side through our community health education, ongoing community engagement, and learning offerings to those interested in the fields of health, midwifery, and collective wellness.</t>
  </si>
  <si>
    <t>CSSBC will address the disparities and inequities of Black women and birthing people, and babies on the South Side of Chicago through a birth center and midwifery care model. Research finds that birth centers are safe and effective places to access comprehensive care to mitigate infant mortality and morbidity rates. Midwife led birth centers are successful in lowering cesarean rates, 6% in birth centers compared to 27% in hospitals. Birth centers and midwifery care also increase breastfeeding rates, patient confidence, satisfaction, reduce preterm birth rates, and reduce healthcare costs. Policy, systems, technology, and community engagement are approaches CSSBC continues to utilize to improve maternal child health outcomes. CSSBC’s goal is to extend our wellness health care model to address the barriers to quality care for our communities. Our sustainability model includes providing reproductive/gynecologic health services for the extended community. Services offered will include well-person care (annual exams, family planning, STI testing) and primary care to be provided by fully licensed healthcare providers as part of community partnerships. The offering of these services is unique in the birth center model as many only provide care during pregnancy, birth, and newly postpartum. CSSBC aims to work in the intersections of healing justice through our community education circles and community support. Additionally, CSSBC will develop health-centered support education groups for community members that are living with health conditions and who can benefit from more support. These groups' focus will include topics of fertility, endometriosis, fibroids, diabetes, nutrition education, and hypertension.
Maternal and infant health disparities are manifestations of broader underlying socio-economic inequities that are rooted in structural racism and discrimination. The legacy of segregation policies and structural racism has resulted in low availability of health care services in Black communities, which exacerbates maternal and infant health outcomes. The aforementioned closure of four hospital labor and delivery units exemplifies the maternal child health care desert in Chicago’s south side neighborhoods.  CSSBC is creating a liberatory space that affirms the experience, autonomy, identity, healing, self-determination, and liberation of Black birthing people, their families, and communities. We envision CSSBC as a home that embodies these ideals and that cultivates and empowers Black women and birthing people as partners in their own healthcare. We see our role in providing culturally relevant access to safe midwifery care as a commitment to the larger social justice movement and informs our resistance and organization. Understanding this role, we further see Chicago South Side Birth Center not as a reactionary response to systemic oppression but as a necessary entity—a literal space—that exists to build community, heal, and liberate.</t>
  </si>
  <si>
    <t>CSSBC is in the second phase of a three-phased plan prior to opening in 2026. Phase two prioritizes developing a five year strategic plan, operating proforma, and policies and procedures that will support opening and sustainability. By the end of fourth quarter 2025, CSSBC will hire up to five BIPOC certified nurse midwives (CNM) and certified professional midwives (CPM) and a Clinical Director to lead and manage the clinic. With the capital campaign in full swing and seeing great success, CSSBC is able to turn our attention to phase three of the plan. CSSBC is taking appropriate measures to develop a strong finance structure and financial management system. In 2025, we hired BDO consulting firm to support in establishing these critical systems. Additional systems, such as human resources, and EMR will also be created. 
CSSBC has exercised our fundraising muscle for over three years. What started as a crowd source campaign to purchase our building in 2022, has evolved into a well established, one of a kind, non-profit Birth Center with a diverse funding base. We have laid the foundation for long-term sustainability. Because we have diligently established a strong funding base that includes state and city governments, foundations, corporations, and individual donors, we are well positioned to open the birth center in 2026 with financial viability. We will have built a strong financial infrastructure that will support operational costs post renovation. 
CSSBC has effectively fundraised to meet our capital campaign goal at the halfway mark of the campaign. With the renovation costs behind us, we are able to turn our attention to operational expenses. This frees up a segment of funding that had previously been uninterested in funding a capital campaign. We are now able to tap into a new segment of potential donors. Due to our successful fundraising with individual donors over the past few years, we will build on that momentum, deepening our relationship with our current donor pool. Additionally, as we prepare to open our doors for direct service provision, CSSBC will source funding for specific areas of our work that demonstrate the intersectionality of maternal/child health, birth equity, and areas such as environmental sustainability, health and nutrition, mental health, and workforce development. All of which strengthen our ability to provide holistic, wrap-around services for birthing people and families on the South Side.</t>
  </si>
  <si>
    <t>-Pritzker Foundation, $250,000-received
-Rusu Family, $500,000-received
-Summer Oaks Fund, $150,000-received</t>
  </si>
  <si>
    <t>-City of Chicago Community Development Grant, $3,299,000-committed
-Illinois State Department of Commerce &amp; Economic Opportunity-$1,000,000-received</t>
  </si>
  <si>
    <t>20-39</t>
  </si>
  <si>
    <t>Woman
Transgender
Non-binary
Genderqueer
Genderfluid
Agender</t>
  </si>
  <si>
    <t>80%</t>
  </si>
  <si>
    <t>https://www.jotform.com/uploads/Sol_Flores_sflores/242752736237461/6292140700655753559/2025%20CSSBC%20Org%20Budget%20%284%29.pdf
https://www.jotform.com/uploads/Sol_Flores_sflores/242752736237461/6292140700655753559/IRS%20990%20Report%20Statement%203.2024.docx%20%287%29.pdf
https://www.jotform.com/uploads/Sol_Flores_sflores/242752736237461/6292140700655753559/CSSBC%20_IRS%20Determination%20Letter%20%285%29.pdf
https://www.jotform.com/uploads/Sol_Flores_sflores/242752736237461/6292140700655753559/CSSBC%20Key%20Staff%202024%20%283%29.docx
https://www.jotform.com/uploads/Sol_Flores_sflores/242752736237461/6292140700655753559/Board%20List%20%281%29.docx</t>
  </si>
  <si>
    <t>https://www.jotform.com/uploads/Sol_Flores_sflores/242752736237461/6292140700655753559/CBBSC%20Working%20Business%20Plan%20%281%29.docx
https://www.jotform.com/uploads/Sol_Flores_sflores/242752736237461/6292140700655753559/Hingston_MCH_ProgramEvaluation_FinalProduct%20%282%29%20%281%29.pdf
https://www.jotform.com/uploads/Sol_Flores_sflores/242752736237461/6292140700655753559/CSSBC%20Case%20for%20Support%20DIGITAL%20%285%29.pdf</t>
  </si>
  <si>
    <t>80% private
20% public</t>
  </si>
  <si>
    <t>Douglas
Oakland Park
Fuller Park
Grand Boulevard
Kenwood
Washington Park
Hyde Park
Woodlawn
South Shore
Chatham
Avalon Park
South Chicago
Burnside
Calumet Heights
Roseland
Pullman
South Deering
East Side
Garfield Ridge
Archer Heights
Brighton Park
New City
West Elsdon
Gage Park
Clearing
West Lawn
Chicago Lawn
West Englewood
Englewood
Greater Grand Crossing</t>
  </si>
  <si>
    <t>Beverly/Morgan Park</t>
  </si>
  <si>
    <t>##NOT_FOUND##</t>
  </si>
  <si>
    <t>grants@mamfrc.org</t>
  </si>
  <si>
    <t>Mano a Mano Family Resource Center</t>
  </si>
  <si>
    <t>36-44180884</t>
  </si>
  <si>
    <t>6 E Main Street</t>
  </si>
  <si>
    <t>Round Lake Park</t>
  </si>
  <si>
    <t>60073</t>
  </si>
  <si>
    <t>www.mamfrc.org</t>
  </si>
  <si>
    <t>Dulce</t>
  </si>
  <si>
    <t>Ortiz</t>
  </si>
  <si>
    <t>Executive  Director</t>
  </si>
  <si>
    <t>Dortiz@mamfrc.org</t>
  </si>
  <si>
    <t>847-201-1521</t>
  </si>
  <si>
    <t>Wendy M.</t>
  </si>
  <si>
    <t>Warden</t>
  </si>
  <si>
    <t>Grant Writer</t>
  </si>
  <si>
    <t>847-401-1135</t>
  </si>
  <si>
    <t>2000</t>
  </si>
  <si>
    <t>37</t>
  </si>
  <si>
    <t>76</t>
  </si>
  <si>
    <t>Mano a Mano's Staff of 37 are 100% Latino and 11% Male and 89% Female
Mano a Mano's Board of 10 is 50% BIPOC and evenly divided between male and female.</t>
  </si>
  <si>
    <t>Our mission is to empower immigrants and their families to become full participants in their community.
Our vision is an integrated Lake County where everyone has access to opportunities and paths to success.</t>
  </si>
  <si>
    <t>Jul 1, 2025</t>
  </si>
  <si>
    <t>Jun 30, 2026</t>
  </si>
  <si>
    <t>Gen Ops</t>
  </si>
  <si>
    <t>Since its founding in 2000, Mano a Mano (MaM) has operated as Lake County’s only holistic and  comprehensive service provider for new immigrants arriving in the community. Founded by local village officials, MaM originally opened in a one-room store front on Main Street in Round Lake Park and served as an information center to orient newcomers to the community. Over time, the organization’s founders and early leaders recognized that immigrant families needed additional direct services and support to effectively navigate their new community. In response, MaM established a new Round Lake Park office to include space for health education, immigration legal services, and classrooms for early childhood and adult education programming. Since 2016, the organization’s footprint and services have expanded to include a satellite office in eastern Lake County and community-based, co-located offices in Wauconda, Mundelein, and Waukegan. The mission of MaM is to empower immigrants and their families living in Lake County, Illinois to become full participants in their community. The organization pursues its mission in the following ways: 1)  provides direct and supportive services, facilitates skill-building, and access to local community resources and opportunities; 2) serves as a hub for knowledge sharing on issues relevant to the immigrant community; 3) promotes best practice models of culturally competent services; 4) fosters leadership skills so clients can act to enhance their well being and the wellbeing of their community; and 5) influences policies and practices that affect immigrants and their families. MaM’s vision is an integrated Lake County where everyone has opportunities and pathways to success. 
Mano a Mano’s Healthy Families, Successful Children, and Productive Parents programs directly align with Knight Impact Partners’ priorities by advancing equity, fostering innovation in service delivery, and driving meaningful, long-term impact for immigrant and underserved families in Lake and McHenry Counties.
Equity is at the core of Mano a Mano, as the organization is the only immigrant-serving organization in the area that provides linguistically and culturally responsive support to Latinx and immigrant families. Our staff is 97% Latinx and either directly impacted by immigration policies or have close family members who are—ensuring programming is not only responsive but rooted in lived experience and community voice. We close equity gaps in access to healthcare, education, economic opportunity, and early childhood development by meeting families where they are and walking alongside them as trusted partners.
Innovation drives our delivery model. In Healthy Families, we embed health promotion, mental wellness, and nutrition education into existing community events, including mobile health clinics and school-based partnerships. Through Successful Children, we integrate health literacy into kindergarten readiness and host bilingual/bi-cultural relevant literacy-based nutrition workshops. Productive Parents leverages ESL, GED, digital literacy, and workforce preparation to support parents' full participation in civic and economic life—an intergenerational approach to systems change.
Together, these programs create a comprehensive, transformational wraparound model that supports family well-being at every stage—empowering individuals to become healthier, more engaged, and economically secure. We have grown from serving 5,000 community members in 2019 to over 9,000 today, reflecting both the demand and the trust we've cultivated in our community. With support from Knight Impact Partners, we can continue to scale this work and replicate best practices in similarly underserved regions.</t>
  </si>
  <si>
    <t>100,000</t>
  </si>
  <si>
    <t>Mano a Mano uses both quantitative and qualitative metrics to assess the success of the Healthy Families, Successful Children, and Productive Parents programs. These metrics are aligned with our organizational goals of improving community health, advancing educational outcomes, and increasing economic stability for immigrant families in Lake and McHenry Counties.
Quantitative metrics include:
Number of individuals served across all three programs (with a target of 9,500+ participants annually)
Number of families accessing preventative health services through mobile clinics, wellness workshops, and nutrition programming
Number of parents and children completing literacy-based workshops and demonstrating improved early childhood learning indicators (e.g., letter and number recognition, daily reading habits)
Percentage of parents reporting increased confidence in supporting their children’s health and education
Number of adults completing ESL, GED prep, digital literacy, and job readiness programs
Number of referrals made to employment, education, and mental health services
These outputs are tracked using our internal database and monitored monthly to ensure consistent progress toward annual goals. We disaggregate data by ZIP code, language, and immigration status where possible to inform equity-driven program decisions.
Qualitative metrics include:
Participant testimonials and documenting changes in health behaviors, parenting practices, and self-sufficiency
Pre- and post-program surveys/tests to assess increased knowledge, behavior change, and satisfaction with services
Feedback from partner organizations and coalition members to assess program alignment and collaborative impact
Key milestones include: (1) expanding bilingual/bicultural wellness and literacy workshops by 15%; (2) increasing participation in family-centered nutrition education; (3) enrolling 150+ adults in education and workforce development; and (4) increasing early childhood learning benchmarks among children in our Successful Children program.
These metrics provide meaningful evidence of how Mano a Mano’s culturally responsive approach leads to improved health, educational advancement, and economic opportunity. They also ensure that we remain accountable to our mission of walking alongside immigrant families as they build stronger, healthier futures.</t>
  </si>
  <si>
    <t>Strategic engagement &amp; advocacy is led by Dulce Ortiz, Executive Director she drives civic strategy and established policy and ensures alignment between operations and funder goals.  
Community-based health and family support is lead by Irma Barrientos, Program Director for Healthy Families and Successful Children and brings expertise in family services, healthy navigation and culturally appropriate outreach.                                                                          
Operational stability is led by Carla Rosales who ensures robust infrastructure for HR, finances and compliance   
Adult education &amp; workforce engagement is led by Jorge Sanchez who oversees curriculum design and program implementation to support parent and civic learning.
Together, this team combines lived immigrant experience, community-rooted leadership, and expertise in civic engagement, education, health, and operations. Their combined talents enable Mano a Mano to deliver a deeply responsive, impactful, and sustainable civic and community-focused project in full alignment with Knight Impact Partners’ goals.</t>
  </si>
  <si>
    <t>MaM’s main office is located in the Round Lake Area and our satellite office is located in North Chicago, services and programs are offered in person at our main offices and at sites in Mundelein, Waukegan, and Wauconda. By co-locating in existing community hubs such as schools, libraries, and Townships, MaM and its partners create strong referral linkages and share programs and events in ways that maximize efforts and attendance. MaM continues to seek opportunities to leverage partnerships and maximize impact by increasing access to services and information. 
MaM is the only Lake County organization that provides comprehensive linguistically and culturally appropriate wraparound services to immigrants, designed to facilitate their integration into a new community. MaM has established strong and enduring partnerships with agencies including the College of Lake County, Lake County Health Department, Rosalind Franklin University, Community Action Partnership of Lake County, Nicasa Behavioral Health Services, Round Lake Area Chamber of Commerce, Special Education District of Lake County (SEDOL), Round Lake Area Public Library, Round Lake Area School District 116, North Chicago School District 187, Mundelein High School, Catholic Charities, United Way of Lake County, Round Lake Area Park District, A Safe Place, Christian Outreach of Lutherans (COOL), Northwestern/Lake Forest Hospital, Advocate Good Shepherd Hospital, Advocate Condell Medical Center, YWCA Lake County, University of Illinois Extension, Wauconda Area Library, Waukegan Public Library, HACES, Arden Shore, PADS Lake County, Catholic Legal Immigration Network, Inc. (CLINIC), DePaul University Legal Clinic, Lake County Community Development Division, Lake County Sheriff, Lake County State’s Attorney, the Alliance for Human Services of Lake County, local villages and municipalities, faith-based organizations, and local businesses. Partnerships create an extensive referral base throughout Lake County and across service sectors, on which MaM relies upon to connect clients with social and education services, and from whom MaM receives thousands of client referrals each year.  MaM is also a participant in Lake County’s 2-1-1 system, which is a phone and text service for Lake County residents seeking social support.</t>
  </si>
  <si>
    <t>Equity, inclusion, and representation are not just guiding principles at Mano a Mano—they are embedded into the fabric of our leadership, operations, and program design. As an immigrant-led organization, we are deeply rooted in the communities we serve. Our team is 97% Latinx, and the majority of our staff have either personally experienced immigration challenges or have close family members who have. This ensures that our work is grounded in cultural humility, lived experience, and deep understanding of the barriers our community members face.
Organizational leadership reflects the community we serve. Our Executive Director, Dulce Ortiz, and senior leadership team are a direct reflection of our community—100% are BIPOC, bilingual, and immigrants. The team includes five women and two men, bringing a diversity of lived experience and professional expertise. This leadership ensures that equity is not an abstract value—but a daily practice that shapes strategy, staffing, and services. We actively recruit leaders with deep roots in our service area and prioritize those who reflect the identities and experiences of the families we support. Our board includes immigrant parents, bilingual professionals, and community advocates from Lake and McHenry Counties. They provide governance that is deeply informed by the community’s needs, cultures, and priorities.
We also invest in internal equity through intentional staff development, mentorship pathways, and leadership opportunities for frontline staff. This ensures that community members can grow within the organization and take on decision-making roles.
Programmatically, equity is embedded through the intentional design of linguistically and culturally relevant services. All programs—from early childhood education to immigration legal assistance—are offered in the preferred language of participants and tailored to their cultural context. We remove barriers to participation by offering free services, providing transportation support, and meeting families in familiar, community-based spaces.
Inclusion is also reflected in how we shape and adapt our programs. We incorporate community feedback through ongoing evaluations, focus groups, and client surveys, and we regularly revise services based on what families tell us they need. This ensures that our programming remains not only inclusive but also community-led.
Ultimately, Mano a Mano ensures that those most impacted by systemic inequities are at the center of the solutions, leading, shaping, and benefiting from every aspect of our work.</t>
  </si>
  <si>
    <t>Mano a Mano addresses root causes of social inequities through innovative, culturally responsive programming that reimagines how immigrant families access health, education, and economic opportunity. Rather than offering isolated services, we take an integrated, wraparound approach that supports the entire family unit—ensuring long-term stability and generational impact.
Our innovation lies in how we deliver services: where we meet people, how we build trust, and who is leading the work. Programs are co-created with and led by staff who reflect the lived experiences of our participants—97% of our team is Latinx and either directly impacted by immigration policy or closely connected to someone who is. This model dismantles traditional provider-client dynamics and replaces them with trusted relationships that open pathways for community-led change.
Through programs like Healthy Families, we embed preventative care, nutrition, and mental health education directly into community hubs—like mobile clinics, schools, and churches—making health access less bureaucratic and more accessible. Our Successful Children program challenges rigid educational norms by meeting families in their home language, providing bilingual, literacy-based nutrition workshops that connect early learning to cultural identity and health. Productive Parents responds to systemic gaps in adult education and employment access by offering ESL, GED, digital literacy, and job readiness programming—all under one roof and led by trusted navigators.
We also challenge systems by partnering with local schools, municipalities, and healthcare providers to build more inclusive, responsive structures. Our advocacy and coalition work have resulted in policy wins like improved language access, increased investment in immigrant mental health, and expanded public health outreach to undocumented residents.
The systemic impact is clear: our approach reduces institutional distrust, increases civic participation, improves educational readiness, and builds a stronger economic foundation for families often excluded from traditional systems. Mano a Mano is not just filling gaps—we are transforming how institutions engage with immigrant communities and creating models that can be replicated across underserved regions.</t>
  </si>
  <si>
    <t>MaM has an internal finance team that manages day to day fiscal operations and external CAP and Audit team that confirms all fiscal oversight provided by the Executive Director and Board of Directors  MaM has been the recipient of many State and/or Federal over the past 24 years and has  never been out of compliance, nor on the no-pay list, or failed to meet terms and/or goals of any awarded grant. 
Mano a Mano has been mindful to pursue and secure funding streams that are distributed across public and private sources including, government, family and corporate foundations as well as robust fundraising campaigns focused around our Annual Hispanic Heritage Month Celebration Gala,  Giving Tuesday and end of year-end campaign.</t>
  </si>
  <si>
    <t>Julian Grace Foundation   $250,000 existing
Hunter Family Foundation  $150,000 existing
Schriber Family Foundation  $150,000 existing</t>
  </si>
  <si>
    <t>Immigrant Family Resource Program Grant  $365,000
Illinois Department of Human Services  - Welcoming Center  $520,000                                                     New Americans Initiative Grant $249,500</t>
  </si>
  <si>
    <t>5%</t>
  </si>
  <si>
    <t>Is it 40-59</t>
  </si>
  <si>
    <t>Latino/x/e / Hispanic</t>
  </si>
  <si>
    <t>Man
Woman</t>
  </si>
  <si>
    <t>90%</t>
  </si>
  <si>
    <t>https://www.jotform.com/uploads/Sol_Flores_sflores/242752736237461/6292008306649235722/MaM%20501c3%20Letter.pdf
https://www.jotform.com/uploads/Sol_Flores_sflores/242752736237461/6292008306649235722/FY23%20MAMFRC%20-%20Audit%20Report.pdf
https://www.jotform.com/uploads/Sol_Flores_sflores/242752736237461/6292008306649235722/FY23%20MAMFRC%20-%20990%20Tax%20Return.pdf
https://www.jotform.com/uploads/Sol_Flores_sflores/242752736237461/6292008306649235722/MaM%20Board%20of%20Directors%202024-2025F.docx
https://www.jotform.com/uploads/Sol_Flores_sflores/242752736237461/6292008306649235722/Key%20Staff%20Bio%20Knight%20Impact%20Funders.docx</t>
  </si>
  <si>
    <t>https://www.jotform.com/uploads/Sol_Flores_sflores/242752736237461/6292008306649235722/MaM_Strategic_Plan_Narrative%20%281%29.pdf</t>
  </si>
  <si>
    <t>Mano a Mano’s current budget is 38% public and 62% private.</t>
  </si>
  <si>
    <t>Lake and McHenry Counties</t>
  </si>
  <si>
    <t>bsantos@accessliving.org</t>
  </si>
  <si>
    <t>Access Living</t>
  </si>
  <si>
    <t>36-3310774</t>
  </si>
  <si>
    <t>115 W. Chicago Ave</t>
  </si>
  <si>
    <t>60660</t>
  </si>
  <si>
    <t>www.accessliving.org</t>
  </si>
  <si>
    <t>Ben</t>
  </si>
  <si>
    <t>Santos</t>
  </si>
  <si>
    <t>Manager of Grants &amp; Planned Giving</t>
  </si>
  <si>
    <t>312-640-2185</t>
  </si>
  <si>
    <t>Karen</t>
  </si>
  <si>
    <t>Tamley</t>
  </si>
  <si>
    <t>President &amp; CEO</t>
  </si>
  <si>
    <t>ktamley@accessliving.org</t>
  </si>
  <si>
    <t>312-640-2104</t>
  </si>
  <si>
    <t>1980</t>
  </si>
  <si>
    <t>87</t>
  </si>
  <si>
    <t>We currently have 21 members that serve on our Board of Directors. Of the 21 members, 48% are male and 52% are female. Additionally, 50% of our Board is White, 25% Asian American, 20% African American and 5% Latinx. Furthermore, 62% of our Board identifies as having a disability. 
There are currently 91 staff members at Access Living. Of the 91 staff members, 64% are female and 33% are male, 44% are White, 32% African American, 19% Latinx, and 5% Asian. Additionally, over 60% of our staff identifies as having a disability.</t>
  </si>
  <si>
    <t>Access Living’s mission is to ignite the power and pride of people with disabilities, provide critical services and break down systemic barriers to create a more inclusive, and therefore much stronger, society. We envision a world free from barriers and discrimination – where disability is a respected and natural part of the human experience and people with disabilities are included and valued.</t>
  </si>
  <si>
    <t>General Operating</t>
  </si>
  <si>
    <t>Description of Programs
Access Living envisions a society where people with disabilities can live in communities of their choice, free from discrimination, and have access to the services, supports, and resources they need in order to live with the same quality of life as their non-disabled counterparts. As such, our work is dedicated to removing the barriers to inclusion and access that work to keep people with disabilities on the outskirts of society. To make this vision a reality we offer: (1) peer oriented independent living services, (2) enforcement of civil rights on behalf of individuals with disabilities, and (3) individualized and systemic advocacy.
Independent Living Services
People with disabilities face significant barriers that prevent them from living in the communities of their choice; scarce affordable accessible housing options, little education on housing alternatives to nursing homes, discrimination, isolation, lack of confidence regarding disability pride and empowerment, as well as systemic challenges that make navigating disability benefits and services seem impossible. Our staff step in to support our community members as they directly face these barriers and advocate for their needs to live independently and with dignity. 
Our Independent Living programming embodies our philosophy that people with disabilities are the best experts on their needs and with the appropriate services can live outside of institutions and be active members in their communities. As such, our Independent Living services include community support services, long term care services, and housing services. Through this programming, Chicagoans with disabilities receive community reintegration services, training and management of Personal Attendants (PAs), financial stability classes, assistive technology, youth development and transition classes, and other vital services needed to live independently in communities of their choice. 
Our community integration services assist people with disabilities who are ready to leave nursing homes and reintegrate into their own apartments in communities of their choice. The process involved in making this transition is comprehensive. Once an individual is referred to us, we conduct an intake assessment whereby we determine the individual consumer’s housing and independent living needs. We also conduct a background check of the consumer which helps our Program Coordinators identify any additional barriers the consumer may have in finding housing due to a criminal background or poor credit. After the initial assessment we begin to work with each consumer to find suitable housing units that they are interested in. Each consumer is taken to see a minimum of 3 housing units to choose from. Once a decision has been made by the consumer and following an inspection by the Housing Authority of Cook County, we work with each consumer to collect all the necessary paperwork they need to provide to the housing provider in order to secure the unit. We also sit down with each individual and identify their household and grocery needs. Once we have identified all the items a consumer will need our Coordinators purchase these items. We meet the consumer at the unit on the day of their move and help them move into their unit. In order to ensure that their transition is successful, we also connect our consumers with other independent living services that we offer. 
Another vital element of independence for many people with disabilities is having access to a properly trained personal assistant (PA) to help them with daily independent living tasks such as bathing, getting dressed, and cooking. Moreover, it is important for consumers to have full decision-making autonomy over who they hire as a PA. As such, we conduct monthly trainings for individuals who wish to serve as PAs. In these trainings, participants learn how to perform the duties of a PA, how to interact with consumers in a culturally competent manner, and how to complete their timesheets correctly. Additionally, because consumer control is paramount, we assist our consumers, on an as-needed basis, in how to hire, manage, and terminate a PA if necessary. 
Assistive technology (AT) also plays an important role in independence for many people with disabilities. In order to meet this need, our Assistive Technology Coordinator conducts in-home assessments of consumers to determine their level of function and need for various types of AT, such as a reacher to grab items off surfaces, raised toilet seats, shower seats, and adaptive microwaves. Following the assessment, our staff will recommend assistive technology that will help the consumer achieve increased independence, deliver the assistive technology to the consumer’s residence, and train the consumer and their caregivers on the use of the assistive technology, as well as follow-up with them to ensure that the assistive technology meets their needs
Many people with disabilities are on fixed incomes, making independent living extremely difficult without a degree of financial know-how. We provide financial literacy classes to help our consumers manage their money and prioritize their spending. Our Financial Literacy classes use the FDIC Money Smart curriculum to assist participants in increasing their financial independence. Money Smart is a comprehensive financial education curriculum designed to help low- and moderate-income individuals enhance their financial skills and create positive banking relationships. Participants learn skills such as how to (1) develop and maintain a personal budget, (2) become banked, and (3) save 5% of their monthly income. Furthermore, our Financial Literacy Coordinator has established relationships with several local banks and community partners to help consumers open checking and savings accounts without fees or provide them with intensive credit repair, thereby increasing their economic independence. Upon successful completion of the course consumers are given an $84 stipend to contribute to their savings, thereby furthering their self-sufficiency.
Our housing counseling programming provides both one-on-one and group assistance to help individuals with disabilities by identifying their personal housing needs and helping them overcome potential barriers to housing, supplying them with affordable and accessible housing listings, assisting them in obtaining housing vouchers, and connecting them with our other supportive services such as those provided by our legal team, and housing advocacy teams. Our Housing Counselor also teaches these individuals the responsibilities of tenancy, such as understanding lease agreements and paying bills on time so that they may maintain their housing and independence. A new addition to our Housing programming is our Home Modifications Program. Through this program, we provide assessments and recommendations for funding support on behalf of disabled homeowners looking to modify their home to be more accessible. This helps ensure people with disabilities can maintain their independence by living in their own homes in the community. 
The transition of many services and supports during the pandemic to digital or online formats laid bare the technological divide that many people with disabilities in Chicago face.  Many people with disabilities do not have access to technology, as many are living at or below the poverty line and cannot afford technology, and have limited digital literacy, which leaves them isolated from society. Without access to computers and reliable internet, people with disabilities do not have a critical component of being able to gain employment, access benefits, learn online, or live independently. Access Living launched the Technology Divide Relief pilot project in September 2021 to get laptops, ongoing broadband access, training and tech support directly to our community members.  Our Technology Divide Relief program is now a high demand service that provides people with disabilities with technology devices such as laptops or tablets as well as wifi hotspots that allow them to access services and supports and opportunities online. We provide participants with one-on-one group support to ensure they have the tools and skills to access resources online. We also provide assistive technology to accommodate various disabilities (such as talk-to-text software). 
Our Independent Living programming also includes several supplemental supportive services such as information and referral, and peer support groups. The information and referral services are focused on assisting individuals with disabilities in the navigation and access of community resources and services which includes benefits access and enrollment. For example, if an individual is seeking information on enrolling for certain public benefits, we can provide guidance on the application process as well as refer them to partner organizations that can provide more hands-on individualized support dependent on need. Lastly, our peer support groups allow individuals with disabilities (who have previously made the transition to independent living) to provide knowledge, experience, and emotional, social or practical help to other individuals with disabilities who may need assistance.
Within our Independent Living Department, we also house our Youth Institute. Our Youth Institute offers support for Chicago area middle and high school youth with disabilities to enhance their basic skills, learn more about secondary education opportunities or employment, and to increase their level of independence. This program is offered in CPS schools throughout Chicago to give students with disabilities the tools to transition to employment and higher education after high school
Fair Housing and Legal Services
Our Fair Housing and Legal Services programming educates people with disabilities about their legal rights, engages in public policy advocacy around affirmatively furthering fair housing and access to community services, and provides direct representation. Ultimately, this leads to not only redress of their immediate legal needs but also has a long-term impact on the systems that work to exclude people with disabilities. Our commitment in this area is demonstrated through our longstanding partnership with HUD under the Fair Housing Initiatives Program (FHIP) as a Qualified Fair Housing Organization. 
Housing is an area of critical need for people with disabilities and the need to further fair housing is clear. Discrimination for people with disabilities in the rental of housing and requests for accommodation, the lack of affordable housing, and the shortage of accessible housing all create serious impediments for people with disabilities, limiting their options and opportunities. We address this by assessing the merit of fair housing complaints, and providing direct representation to low-income individuals experiencing housing discrimination. We also provide information and referral services to individuals seeking housing, as well as those who are seeking services that we do not provide. Beyond merely taking cases of alleged discrimination, we also engage in fair housing testing to screen for possible instances of discrimination. Testing is a controlled method for measuring and documenting variations in the quality, quantity, and content of information and services offered or given to home seekers by housing providers and agents. The results reveal whether a housing provider is treating people differently based on disability, in violation of fair housing laws. 
The legal team engages in advocacy, education, and public policy work regarding Affirmatively Further Fair Housing by providing various trainings on housing rights to people with disabilities, government officials, attorneys, advocates, and service providers. Additionally, the team submits disability specific policy recommendations to local, state, and national housing officials, and updates and distributes educational materials about the fair housing rights of people with disabilities.  Furthermore, if there are plans for implementation of a new law or rule regarding fair housing, the legal team will draft and issue a letter detailing disability specific recommendations. 
Outside of the area of fair housing, we enforce the Americans with Disabilities Act by providing direct representation to clients experiencing discrimination. Our focus is on Title III of the Act and ensuring that places of public accommodation are accessible to people with disabilities. A place of public accommodation is a business that is generally open to the public. Examples include restaurants, recreation facilities, and doctors’ offices among others. Without the ability to access the private businesses in their neighborhoods, people with disabilities would not be able to enjoy the same quality of life as their non-disabled counterparts. The legal aid organizations in Chicago do not traditionally take on ADA cases dealing with places of public accommodation despite the fact that access to these spaces is vital to the meaningful inclusion of people with disabilities. Moreover, while the focus of our ADA work is the enforcement of Title III, our ADA Enforcement Attorney also handles Title II cases as needed. Title II of the ADA prohibits discrimination on the basis of disability in in services, programs, and activities provided by State and local government entities.
Advocacy Services
Using the change levers of raising awareness through outreach, community organizing, and public policy work, our Advocacy programming makes a difference in the lives of people with disabilities on a city-wide, state-wide, and nation-wide level. 
The approach of our Community Development Organizers is one that focuses on creating social change by using grassroots engagement efforts that are informed and led by low-income Chicagoans with disabilities. One of the rallying cries of our organizing groups is “Nothing about us without us”, so the decisions and agendas of our organizing groups are driven by our grassroots leaders and our base. Each of our organizing groups assesses and addresses issues and problems that affect its membership and the disability community at large. Our Organizers work with and develop new local leaders, facilitate coalitions and assist in the development of campaigns. Currently we have community organizing groups focused on housing, Latinx and immigration issues, economic justice and healthcare. 
To complement our community organizing we also utilize a staff of policy analysts who can approach these same problems and issues that our organizers are fighting for but from a more top down approach. When these two approaches are combined, we create the unique kind of synergy needed to make the most effective impact. Our policy analysts formulate policy analysis, draft fact sheets, provide testimony and commentary, policy recommendations and proposals in the areas of education, transportation, economic justice, and mental health.
All of our programs align with Knight Impact Partners' priority around community centered initiatives rooted in justice and equity in human services programming. Our initiatives are directly influenced by the needs of our community and challenging the systems of discrimination that people with disabilities face daily. Our wraparound human services programming responds to the needs and demands of our community, with each team at our organization working in tandem to advance our mission and vision. For example, when a community member comes to Access Living seeking a direct service or legal support, not only do we provide them with assistance, but we encourage them to participate in our systemic advocacy work to challenge the systems that make obtaining human services challenging and confusing.</t>
  </si>
  <si>
    <t>Our overall goal is to increase the independence and self-sufficiency of people with disabilities so that they can live self-directed lives in communities of their choice. We directly serve approximately 1,500 individuals with disabilities each year. While we do not have space to list all of our programmatic goals, some of our specific program goals for the upcoming year are to: 
•	Counsel 150 Chicago residents with disabilities in providing assistance with applying for, locating, or maintaining their housing by making informed choices about their housing needs. 
•	Transition 125 people with disabilities living in nursing homes into the community of their choice. 
•	Host 100 one-day trainings on the Personal Assistant Databank Program
•	Provide adaptive devices and assistive technology, such as accessible household appliances and shower accessories, and any necessary training on the use of those devices to approximately 100 individuals. 
•	Educate 300 individuals through training and outreach activities concerning the fair housing rights of people with disabilities. 
•	Graduate 75 consumers from our financial literacy programming through facilitating 4, 11-week training using the FDIC Money Smart curriculum
•	Recruit 170 high school students with disabilities for our Early Start transition program during the 2025-2026 school year
•	Provide technological devices, such as laptops and smart phones, and training to 100 consumers, increasing their access to technological support, decreasing the digital divide and accomplishing individual independent living goals.
Additionally, each of our advocacy groups will be focusing on a systems change campaign within the areas of housing, healthcare, immigration, economic justice, diversion &amp; re-entry, education policy, mental health policy, transportation policy and healthcare policy. 
For each program in our organization, we evaluate our progress using Key Result Areas (KRAs). KRAs are clear, specific, and measurable objectives that each programming area develops to guide the organization towards the strategic directions outlined in the plan. Every quarter, the senior manager for each programming area collects the progress on each KRA and submits a report to the Executive Vice President who in turn submits a compiled report to the President and the Board. Additionally, we have a Data Integrity Coordinator who is tasked with ensuring that we are gathering the data necessary to best fulfill our goals and adapt our programs as necessary. Our Coordinator does quarterly phone call surveys to our consumers receiving Independent Living Services, asking if they are satisfied with the services they receive and allowing space for feedback on the organization as a whole. These results are shared with senior leadership and help provide guidance on large scale strategic planning.</t>
  </si>
  <si>
    <t>Karen Tamley-President and CEO
In March 2020, Karen Tamley became the new President and CEO of Access Living, a Chicago-based service and advocacy non-profit organization for people with disabilities. In her new role, Karen has returned to her roots, having served in multiple positions at Access Living from 1996 to 2005, under Access Living’s founding CEO Marca Bristo. 
Prior to becoming Access Living’s CEO, Karen served three Chicago Mayors as Commissioner of the Mayor’s Office for People with Disabilities. As Commissioner, Karen advanced accessibility and disability inclusion in the areas of transportation, city infrastructure, technology, emergency planning, education, and employment and oversaw the delivery of direct services to thousands of Chicago’s disabled youth and adults. In 2015, Karen received the Motorola Solutions Excellence in Public Service Award from the Civic Federation, which recognizes a non-elected government official for having an extraordinary impact on the quality of state and local government services in Illinois.
In 2016, President Obama appointed Karen to serve on the United States Access Board, which develops national accessibility guidelines and standards, and she was elected as Chair in 2019. Most recently, Karen served as a member of the Biden-Harris Presidential Transition team.
Over the past two decades, Tamley has served on a wide variety of government and nonprofit community boards at the national, state and local level, including Pace Suburban Bus, Dare2Tri and Kohl’s Children’s Museum. In 2015, she received the Distinguished Fellow award from Leadership Greater Chicago. 
Karen is a graduate of the University of California, Berkeley. She lives in Chicago with her husband, Kevin Irvine, and their teenage daughter. All three have disabilities themselves and are actively involved in disability advocacy locally and nationally.
Daisy Feidt-Executive Vice-President
Daisy Feidt has worked at Access Living for more than 20 years. She has held a wide variety of management positions and led the organization through multiple strategic planning processes. She has extensive management experience in fundraising, evaluation, and program implementation.
Daisy is an alumna of Leadership Greater Chicago, a prestigious and competitive program that provides community awareness and networking opportunities for leaders in Chicago. Daisy is on the board of BPI, a public interest law and policy center and is the vice president of the Illinois Network of Centers for Independent Living, the state association of centers for independent living.
Neil Anderson- Chief Financial Officer
Neil has been with Access Living since 2003. In his current role, he leads the organization’s accounting, human resources, information technology, and facilities management departments. Previously, Neil has held roles in finance, human resources, and information technology at Fortune 500 companies as well as smaller, privately held organizations in the manufacturing and food service industries. Neil is a member of the Society for Human Resource Management and the HR Certification Institute and is an active participant in the not-for-profit section of the American Institute of Certified Public Accountants.
Amber Smock-Vice President of Advocacy &amp; External Affairs
Amber has served as Access Living’s Director of Advocacy since 2010, and was recently promoted to Vice President of Advocacy. She is responsible for executing Access Living’s advocacy vision through policy, community organizing, and issue education, with support from across Access Living’s program departments. She guides Access Living’s strategic partnerships and significant networking efforts at the local, state, and national levels across a range of disability topics, including healthcare/home- and community-based services, housing, education, transportation, racial justice, immigration, and incarceration of people with disabilities.
Amber was the original facilitator of the federal-state working group Disability Power for Community Integration. She currently serves on the Illinois state Medicaid Advisory Committee, the Cook County Commission on Human Rights, and the Illinois America 250 Commission. She also supports international disability learning exchange, particularly through the U.S. Professional Fellows Programs. Amber is a skilled presenter and trainer, a member of ADA25 and Leadership Greater Chicago, and a recipient of numerous local and national awards for her disability advocacy.
Amber is a proud member of the Deaf community who grew up in mainstreamed schools, learned ASL as a young adult, and now relies on lip-reading, ASL interpreters, and video relay technologies for communication access.
Latricia Seye-Vice President of Independent Living 
Latricia (Trish) Seye joined Access Living in January of 2021. As the Vice President of Independent Living Services, she oversees all of the direct services the organization provides, including program development, evaluation of annual goals and objectives, budgeting and planning, and managing the largest department within the organization.
Before joining Access Living, Trish was the Assistant Director of Fair Housing and ADA Compliance at the Chicago Housing Authority (CHA), the third largest housing authority in the country, where she served for nearly a decade in roles of increasing responsibility. At the CHA, Trish was instrumental in leading a department that served close to 1200 people annually. Trish is guided by a philosophy that not everyone is far off from needing help and brings to her work an expertise in fair housing, extensive experience working directly with adults and children with disabilities, and an ability to access resources that help people live independently.
Trish holds a bachelor’s in African American studies, a post-baccalaureate paralegal certificate, and a Master’s in Public Administration with a concentration in government management. In 2018, she was inducted into the National Society of Leadership and Success. In 2021, Trish was selected for The United Way of Metro Chicago and The Baumhart Center of Loyola University’s Responsible Business Leaders – Fall 2021 Cohort.
Ken Walden-Managing Attorney 
Ken oversees Access Living’s Fair Housing and Legal Services team, which handles Fair Housing and Americans with Disabilities Act civil rights cases for people with disabilities. Under his direction, the civil rights team advises and represents clients with disability-based civil rights complaints, conducts a fair housing testing program, and performs public policy advocacy. Ken is an Adjunct Professor at Loyola University Chicago School of Law where he teaches a course on disability law.
Prior to Access Living, he served as director of the Tenant Advocacy Project of the Public Justice Center in Baltimore, and as a staff attorney for the Legal Aid Bureau of Baltimore City. He received his bachelor’s degree from Rutgers University and his law degree from the University of Maryland School of Law. Ken is a member of the Illinois State Bar Association and Chicago Bar Association.</t>
  </si>
  <si>
    <t>All of our work embodies our philosophy of “nothing about us without us,” which holds our organization accountable to including the voices and perspectives of people with disabilities in all our decision making and strategy. We actively work to ensure that the lived experience of the people we serve determines and guides our programs and services and our consumers play an active role in leading our advocacy work. As an organization governed and led by people with disabilities, we are nationally recognized as a leading force in the disability advocacy community, and we work to challenge stereotypes, protect civil rights, and champion social reform. We serve people across all disability types, and that diversity within the disability community is also reflected in our board and staff; over 60% of our staff identify as having a disability. Furthermore, we have a personal stake in the policy and programs we push forward, and a unique perspective in the systems reforms and direct service strategy we pursue to ensure that disabled Chicagoans are included and valued in every aspect of life.</t>
  </si>
  <si>
    <t>Access Living takes great pride in being a leader in relationships and coalition building across sectors. We are in coalition and partnership with numerous organizations locally and nationally across all our Independent Living programs, Fair Housing and Legal Services, and Advocacy work. We oftentimes emphasize to partners that the disability community is not a small, insular sub-set of our population, but a fast-growing segment of our population representing all ages, racial, ethnic, and economic groups. Therefore, we encourage cross-movement organizing and strategies to get closer to unified goals that will improve the lives of as many individuals as possible. Some examples of partners that we work closely with include: The Mayor’s Office for People with Disabilities, Illinois Network of Centers for Independent Living, Chicago Housing Authority, SEIU, Illinois Coalition for Immigrant and Refugee Rights, Better Streets Chicago and the Chicago Fair Housing Alliance.</t>
  </si>
  <si>
    <t>As a Center for Independent Living, our bylaws require us to have a majority of our board and staff be persons with disabilities, ensuring our organization reflects the population we serve. Currently, 100% of our Leadership Team, 62% of our Board and 60% of our staff identify as having a disability. Additionally, 52% of our Board and 57% of our staff are people of color, with 45% of our management team identifying as a person of color. 
In terms of our Equity, Inclusion and Representation efforts, since 2020 our Strategic Plan has emphasized Racial Equity as a priority with multiple plans of action. In April 2020 we started a Board/Staff Race Equity Committee as part of our strategic plan. This committee is charged with guiding the overall strategic direction of our Equity, Inclusion and Representation work. The committee identified recommendations, with board approval, that speak to how Access Living can become more antiracist in our work and how our organization is run. In November 2023, the committee successfully hired a Director of Culture and Strategy to support our programming and ensure there is a race equity lens applied to any initiative Access Living pursues.</t>
  </si>
  <si>
    <t>Established in 1980, Access Living is a change agent committed to fostering an inclusive society that enables Chicagoans with disabilities to live fully engaged and self-directed lives. Nationally recognized as a leading force in the disability advocacy community, we challenge stereotypes, protect civil rights, deliver critical services and champion social reform. As the only Center for Independent Living in Chicago, we have increased the independence of over 65,000 individuals with disabilities since our founding 45 years ago and have improved the lives of countless people through our legislative advocacy and community organizing. 
Some of our organization’s key achievements include: playing a key role in the passage of the 1990 Americans with Disabilities Act and the 1988 Fair Housing Amendments Act, establishing the first disability focused fair housing program in the country, advising  the City of Chicago on the expansion of  accessibility guidelines in the Chicago Building Code, that serves as a model for the nation, a $15 million landmark legal settlement that  improved the accessibility of the Chicago Transit Authority system and negotiating a 5 year, 50M agreement to make Chicago Public Schools accessible. Recent accomplishments include helping pass the Dignity in Pay Act in Illinois, which will phase out subminimum wage policies for people with disabilities over the course of 5 years, and drafting and securing passage of CESSA, a statewide law that will provide alternatives to police response for people experiencing a mental health crisis.
Currently, people with disabilities face numerous threats across multiple sectors that significantly impact their ability to live independently and with dignity in the communities of their choice. Proposed federal cuts are anticipated to hit housing, education and healthcare, while the Administration of Community Living, which provides oversight and funding to Centers for Independent Living across the country that offer supports and services to people with disabilities/the aging community, has recently been dismantled and absorbed into other agencies. One of the largest and most expansive programs that provide services to people with disabilities, Medicaid, will be cut by $800 billion, which is the largest cut in the program’s history, impacting millions of Americans across the country. It is estimated that at least 330,000 Illinois residents could completely lose their healthcare coverage under cuts to Medicaid and the ACA, with millions more seeing reductions in their services. Additionally, an estimated million Chicagoans rely on Medicaid, half of which are children, and the majority of which are located on the south and west sides of Chicago, further highlighting that there is strong correlation between disability, race, poverty and Medicaid eligibility. In tandem with Medicaid cuts, there were also significant reductions in SNAP, a program that people with disabilities depend on to access food. It is estimated that 1.9 million Illinoisians and 891,000 people in Cook County who are low-income rely on SNAP to feed themselves and their families, and without this program will not be able to buy groceries or food. The impact of Medicaid and SNAP cuts is life or death, leaving people with disabilities facing homelessness, food insecurity, limited healthcare options and the overall loss of basic human rights. In addition to federal threats to Medicaid and SNAP, the disability community is directly impacted by the dismantling of the Department of Education, with over 54% of CPS staffing cuts in Special Education, and our community is also navigating cuts to public transportation, which is currently facing a 40% reduction due to the upcoming $770M fiscal cliff on public transit. 
Our federal and state-level advocacy is a direct response to threats that impact our communities’ ability to live independently, access healthcare, build wealth and advocate for their rights. Through coalition building, advocacy campaigns, and legislative strategies, Access Living is stepping up as a tenacious leader to demand the disability voice be heard in this pivotal time in history. Additionally, our Independent Living and Fair Housing and Legal Services provide critical support to systemic threats by aiding in navigating barriers that are set in place to hinder inclusion and accessibility for people with disabilities. Our direct services provide concrete stepping-stones towards equity, creating opportunities for independent community living, financial stability, public benefit registration, technological access and peer mentorship while our legal support provides fair housing education and ADA enforcement.</t>
  </si>
  <si>
    <t>Our organization has strong financial stability. As an organization in operation for over 45 years we have a dedicated financial department with three staff accounts who are managed by our Controller and the entire department is overseen by our CFO. We adhere to Generally Accepted Accounting Principals (GAAP) and conduct yearly external audits, none of which have shown any findings in years past. We have a diversity of funding sources including city, state, and federal public grants, private foundation grants, individual donations, our annual gala, our current multi-year $25 million major gifts campaign, and our revenue generating Consulting and Training program.  We have significant endowment and net assets as resources for any potential funding shortfalls, ensuring that we can continue operating at full capacity in the long term.</t>
  </si>
  <si>
    <t>Existing:
MacArthur Foundation: $1,000,000
Ford Foundation $150,000
Crown Family Philanthropies: $75,000
Anticipated:
Chicago Community Trust: $150,000
Joyce Foundation: $125,000
Schreiber Family Philanthropy: $100,000</t>
  </si>
  <si>
    <t>IDHS Williams/Colbert-$1,846,162 (existing amount, same amount anticipated for next year)
IDHS CIL- $921,723 (existing amount, same amount anticipated for next year)
HUD FHIP- $425,000 (existing amount, same amount anticipated for next year)</t>
  </si>
  <si>
    <t>20 - 39 years old
40 - 59 years old</t>
  </si>
  <si>
    <t>We serve people with disabilities of all ages, and our primary age group that we serve are adults between 25-59</t>
  </si>
  <si>
    <t>Black / African American
Latino/x/e / Hispanic
White</t>
  </si>
  <si>
    <t>Man
Woman
Prefer not to say</t>
  </si>
  <si>
    <t>https://www.jotform.com/uploads/Sol_Flores_sflores/242752736237461/6291879524916467445/AL%20FY26%20Organization%20Budget.pdf
https://www.jotform.com/uploads/Sol_Flores_sflores/242752736237461/6291879524916467445/IRS%20Determination%20Letter.pdf
https://www.jotform.com/uploads/Sol_Flores_sflores/242752736237461/6291879524916467445/2025%20Board%20Member%20List.pdf
https://www.jotform.com/uploads/Sol_Flores_sflores/242752736237461/6291879524916467445/FY24%20AL%20Audit.pdf
https://www.jotform.com/uploads/Sol_Flores_sflores/242752736237461/6291879524916467445/Key%20Staff%20Bios.docx
https://www.jotform.com/uploads/Sol_Flores_sflores/242752736237461/6291879524916467445/ACCESS%20LIVING%20OF%20METROPOLITAN%20CHICAGO_2023_990_Signed%20Document.pdf</t>
  </si>
  <si>
    <t>68% public, 22% private</t>
  </si>
  <si>
    <t>We serve the entire city of Chicago, and our operations are based our of our headquarters in River North. We do not have any particular neighborhood where we do at least 10% of our work, though a high percentage of our consumers come from the south and west side neighborhoods of Chicago.</t>
  </si>
  <si>
    <t>River North</t>
  </si>
  <si>
    <t>r.ducat@blvd.org</t>
  </si>
  <si>
    <t>The Boulevard of Chicago, Inc.</t>
  </si>
  <si>
    <t>36-4075641</t>
  </si>
  <si>
    <t>3456 West Franklin Boulevard</t>
  </si>
  <si>
    <t>---</t>
  </si>
  <si>
    <t>60624-1308</t>
  </si>
  <si>
    <t>www.blvd.org</t>
  </si>
  <si>
    <t>Richard</t>
  </si>
  <si>
    <t>Ducatenzeiler</t>
  </si>
  <si>
    <t>Chief Executive Officer</t>
  </si>
  <si>
    <t>773-825-2141</t>
  </si>
  <si>
    <t>Maryanne</t>
  </si>
  <si>
    <t>McDonald</t>
  </si>
  <si>
    <t>Grants Administrator</t>
  </si>
  <si>
    <t>m.mcdonald@blvd.org</t>
  </si>
  <si>
    <t>773-666-6971</t>
  </si>
  <si>
    <t>1994</t>
  </si>
  <si>
    <t>47</t>
  </si>
  <si>
    <t>3</t>
  </si>
  <si>
    <t>50</t>
  </si>
  <si>
    <t>The Boulevard’s front-line staff mirrors the client demographic with 39 (83%) African American, 4 (9%) Hispanic/Latino, 1 (2%) Asian, 3 (6%) White non-Hispanic (note: three positions are vacant/new hires in process). 
The Boulevard's Leadership Team currently represents demographics as follows:  37.5% African American, 25% Latinx/White, and 37.5% White. Among leaders, 12.5% are Male and 87.5% identify as Female. The leadership team ages span 28 - 64 years. None are veterans. Six of eight Leadership Team members were raised in Near West, West, South and Far South Side neighborhoods in Chicago.
The Board comprises 15 members of who 26.67% are African American, 66.67% are White, and 6.67% are Asian. Of the members, 66.67% are female and 26.67% are male.</t>
  </si>
  <si>
    <t>MISSION STATEMENT
The Boulevard of Chicago provides high quality, cost-effective medical respite care, holistic support, and transitional housing services to help ill and injured homeless adults break the cycle of homelessness, restore their health, and rebuild their lives.
OUR VISION is to serve more homeless individuals with compassion and support for their personal dignity. We aim to improve lives by providing essential services to ensure full recovery from illness and injury and to prepare for the transition to life in safe and affordable homes in the community.</t>
  </si>
  <si>
    <t>GENERAL OPERATIONS</t>
  </si>
  <si>
    <t>100000</t>
  </si>
  <si>
    <t>All program activity is reported by Case Managers in the HMIS and Case Worthy systems hosted by All Chicago and The Center for Health and Housing, a project of the AIDS Foundation of Chicago. Our Housing Advocate/Resource Specialist records assessment results in the Coordinated Entry System (CES). Case Managers will also record encounters in the new electronic health record and generate monthly performance reports on a biweekly basis in the coming year. 
This data and client feedback will be used by dedicated performance improvement teams to improve the quality, safety, and timeliness of care in all programs.   
In the coming year, The Boulevard aims to achieve service volume and quality goals as follows. 
- 200 Medical Respite clients will be served.
----- 50% of clients will move to permanent housing destinations. 
- 400 Housing and Health clients will be served. 
----- 95-100% of FHP, Samaritan, and HOPWA program clients remain in stable housing for 12 months.
----- 50% of Rapid Re-Housing clients will remain in stable housing for 12 months.   
We also seek to achieve organizational goals as follows:
- Conduct strategic planning process and complete a comprehensive facility assessment to inform future implementation and sustainability plans. 
- Convene 10 former clients to serve on the Consumer Advisory Board and facilitate monthly meetings.
- Begin Medicaid Behavioral Health Center (BHC) services; analyze performance and project FY27 revenue. 
- Present highlights and lessons learned at the National Healthcare for the Homeless Conference, May 2026.</t>
  </si>
  <si>
    <t>Richard Ducatenzeiler, Chief Executive Officer (CEO), brings more than 20 years of leadership experience and unique expertise in systems of care for people experiencing homelessness to the project. Richard will provide administrative and programmatic oversight to the project, including reporting to PFF and supervising all Leadership Team members to restructure programming as an integrated care model. Richard has primary responsibility for setting the direction for strategic growth and cross-sector collaboration to strengthen the regional system of care over the next three years. 
Kathleen Recchia, MS, Chief Program Officer (CPO) brings more than 17 years of combined experience creating innovative and sustainable programs for nonprofit organizations serving patients and families in healthcare settings, as well as early intervention and child welfare services to the project. During the project year, Kathleen will collaborate with agency peers to improve care coordination and address service gaps. She will directly supervise the Directors responsible for Medical Respite and Support Services (facility-based care), Clinical Services (integrated behavioral health services), and Health and Housing Services (community-focused case management, housing, advocacy, and health outreach services) to achieve project objectives. 
In addition to the CEO and CPO, an experienced leadership team will play a pivotal role in driving organizational change to prepare for growth. 
Anais Fuentes, Director of Medical Respite Care, has more than ten years of experience working for non-profit organizations and vulnerable populations. Anais will contribute to the design, selection, and testing of IT systems to improve care management. She will have primary responsibility for client data reporting to sponsors, including the U.S. Housing and Urban Development as the designated ATA for All Chicago. As the supervisor of all onsite case managers and facility support staff, she will be responsible for policy and protocol development, and staff training to achieve project goals including JEDI strategies. 
Areanda Robinson, LSW, Director of Health and Housing Services, has over 20 years of experience in social services. Areanda earned a Master of Social Work from Chicago State University with a concentration in Administration and Program Evaluation. She started her career at The Boulevard as a case manager in 2002 and was promoted to manager with responsibility for meeting all Ryan White program requirements in 2019. As Director of Health and Housing Services, she will lead her team through major transition and growth in the coming year. She values compassion and empathy while also ensuring excellence in care delivery. She thrives in her work with ample opportunities for trust-building, mutual learning, and collaboration. 
Nicole Langston, LCSW, Director of Clinical Services, joined The Boulevard in December 2021 and has been promoted twice during her tenure. Nicole is a Licensed Clinical Social Worker with an extensive managerial background in the following fields: mental health support, residential treatment, and child welfare services. Throughout her career, she has remained passionate and steadfast in strategic planning and the execution of coordinated programs that are aimed at addressing poverty, domestic violence, child abuse, criminal justice, social inequity, educational disparities, early childhood development, mental health, and the needs of aging populations. 
Sydney Edens, Director of Development, joined The Boulevard’s staff in March 2021 and has been promoted twice during her tenure. Sydney leads campaigns and appeals, special events, individual giving. She also manages external communications to drive awareness and action. Prior to coming to The Boulevard, Sydney worked as an Account Executive at Lukas Partners, where she executed public relations strategies for a variety of clients. She received a B.S. in Communication from the University of Nebraska Omaha.
Maryanne McDonald, MPH, Grants Administrator, joined The Boulevard's staff in January 2025 to manage and grow the institutional giving portfolio and strengthen pre- and post-award practices. Maryanne is a seasoned grants professional and public health advocate with more than 25 years of experience in program development, grant-writing, grants management, and evaluation. Working in social service, healthcare, public health, and education, she has acquired broad technical knowledge that enables her to effectively engage with private and public funders, develop and submit competitive proposals, and support program teams to fulfill funder requirements. Prior to this role, Maryanne operated as a consultant specializing in grant-writing and grants administration. 
Barbara Moore, Human Resource Manager, joined The Boulevard in September 2024. Barb considers herself a versatile HR professional who consistently maintains a "people-first" mindset. With over 15 years of progressive experience in human resources, recruitment, and talent acquisition across the consulting, non-profit, and technology sectors, Barb brings a strategic and comprehensive approach to organizations. She is dedicated to driving organizational growth, championing diversity and equity, aligning HR strategies with business objectives, and fostering an exceptional workplace culture.</t>
  </si>
  <si>
    <t>Our residential clients are adults experiencing homelessness in need of post-acute medical respite care. The minimum age for intake is 18 years. More than half of our residents are aged 55 years and above. Most medical respite clients are male (76% versus 24% female). The client demographic mirrors profile of the homeless population in the City of Chicago: 75.7% Black, 10.5% White, 0.55% Asian, 1.1% Native Am/Alaska Native/Indigenous, and 0.55% Native Hawaiian/Pacific Islander. Approximately 12% of our respite clients are Latino/Hispanic. Similarly, our Housing &amp; Health (H&amp;H) householders living in the community reflect the disproportionate burden of homelessness on people of color. Most H&amp;H clients are male (65%) and Black.  
At the medical respite facility, staff have implemented a multi-level system to elicit feedback from the community served. Residents play an essential role by voicing their concerns, ideas, and compliments during regular group meetings, and through surveys, and direct advocacy. Recent projects were developed based on their input to improve quality, timeliness, and safety of care, including: 1) a revision of the intake/discharge process for veterans who navigate the VA health system and face unique challenges to access their benefits; and 2) introduction of a new (anonymous) client survey tool, accessible by QR code on their phones, to submit complaints, comments, and kudos. Residents receive emails notices, and check community bulletin boards for frequent announcements. Housing &amp; Health clients likewise are invited to participate in surveys to improve the quality of services.
As residents recover, they are actively involved in year-round volunteer activities including but not limited to maintenance, planting, and harvesting of our 6-bed community garden, health education (e.g., A.A. groups, nutrition programs), and special event planning. Residents who express interest in volunteerism indicate their skills and interests in a written application (with literacy assistance if needed). Areas of interest for volunteerism are language translation, organizing in-kind donations, tour guide, kitchen/food prep, library assistance, admin duties, leading education, hosting activities, grounds work, building maintenance, web support, communications, photography, special events, and other. 
Last year, with input from residents, The Boulevard hosted lively celebrations of MLK Day, Black History Month, Juneteenth, Veteran's Day, and Cinco de Mayo with abundant food, dancing, and games. Current and former residents also worked with staff to acknowledge the accomplishments and milestones of their peers such as birthdays, graduation, or moving day to a new home. 
A hallmark of The Boulevard’s success with respect to community engagement is reflected in three clients stories featured in a video produced for the annual luncheon event on June 5, 2025. The video is available online at https://www.youtube.com/watch?v=8nsYkUq8ibM.
The Boulevard will introduce a new Community Advisory Board (CAB) this year. The CAB will comprise ten seats, including five allocated to former Medical Respite clients and five to Housing &amp; Health clients. This concept followed positive feedback from former client who are now serving on local advisory committees including the AIDS Foundation of Chicago’s HIV advisory group. 
The Boulevard benefits from the leadership of two people with lived experience who are active members of the Board of Directors (per the bylaws) and Board’s Advisory Committee.</t>
  </si>
  <si>
    <t>The Boulevard is an agent of change within the ecosystem of homelessness services. At the national level, program leaders joined the pilot cohort of organizations seeking medical respite certification based on fidelity to newly adopted national standards. At the State level, program leaders provided insights and comments to the Illinois Department of Healthcare and Family Services to shape forthcoming guidelines for 1115 Waiver implementation. Our program leaders continue to facilitate the Cook County Medical Respite Collaborative to strengthen care coordination and outcomes in Chicago and suburban Cook communities. The Boulevard’s program leaders serve on the Board of the Chicago Continuum of Care (CoC) managed by All Chicago. Our CEO currently serves as Board President of the Chicago Coalition for the Homeless.</t>
  </si>
  <si>
    <t>The Boulevard’s client demographic last year closely represented that of the local population experiencing homelessness. Among 181 Medical Respite clients, 137 were Black/African American (75.69%), 19 White (10.5%), 4 White and Hispanic/Latin (2.21%), 16 Hispanic/Latino (8.84%) (no race identified), 1 Hispanic/Black (0.55%), 1 Pacific Islander/Native Hawaiian (0.55%), 2 American Indian/Alaskan Native/Indigenous (1.1%), 1 Asian (1.1%). In 2024, all the medical respite care program residents were ill or injured, suffering from conditions of varying severity. Approximately 75% suffered from two or more conditions. 
The Boulevard’s front-line staff mirrors the client demographic with 39 (83%) African American, 4 (9%) Hispanic/Latino, 1 (2%) Asian, 3 (6%) White non-Hispanic (note: three positions are vacant/new hires in process). Our most recent addition to the Resident Care Assistant team is a former client. We strive to hire a team that effectively understands and represents the lived experience of our clients. We also hire and train staff who have broad and deep experience as program staff at local not-for-profits that provide safety net services for Chicago's most vulnerable community members.
The Boulevard's Leadership Team currently represents demographics as follows:  37.5% African American, 25% Latinx/White, and 37.5% White. Among leaders, 12.5% are Male and 87.5% identify as Female. The leadership team ages span 28 - 64 years. None are veterans. Six of eight Leadership Team members were raised in Near West, West, South and Far South Side neighborhoods in Chicago. All Leadership Team members have dedicated their careers to the non-profit sector with a priority focus on care delivery for people experiencing homelessness and/or for people with significant disabilities, injuries, and illness. They share the belief that health and housing are human rights, and work towards a vision of system of care that ensures access to comprehensive, person-centered medical respite care.</t>
  </si>
  <si>
    <t>The Boulevard’s program leaders have always strived to innovate services and systems to benefit the unhoused community living within the City of Chicago. The organization itself stemmed from the volunteer efforts of local clergy who refused to turn their backs on medically vulnerable adults who were living on the streets. The compulsion to provide specialized shelter care remains part of the Boulevard’s organizational DNA.  
The Boulevard continues to lead by example by encouraging others to adopt nine standards of care to ensure that everyone who needs medical respite can have access to comprehensive, high-quality care with pathways to safe, stable housing. To that end, 
- The leadership team frequently attends regional and national conferences to share the care philosophy (Housing First, human-centered, trauma-informed) and best practices to raise awareness of the unmet health related social needs of the people in our care, and to educate others about the importance of medical respite within homeless services. 
- The Boulevard collaborates with advocates and sponsors to consider systems change strategies. In February 2024, The Boulevard hosted the Mayor of Chicago, The Honorable Brandon Johnson, his Chief of Staff, the Chief Homelessness Officer for the State of Illinois, civic leaders, affordable housing advocates, and philanthropists to attend a roundtable (convened by Chicago Funders to End Homelessness) at our facility. The forum addressed the dearth of affordable housing, challenges to interoperability and data sharing to advance care coordination and accountability among other topics. 
- After an intensive effort in early 2024, The Boulevard secured certification from the IL Department of Healthcare and Family Services to operate as a Medicaid Behavioral Health Center provider. The Boulevard then conducted a highly interactive training program for front line staff responsible for care management to prepare to fulfill all Medicaid requirements and advance the vision for care transformation. This training emphasized core values and evidence-based practices that underly team cohesion, effective collaboration/partnership, and client advocacy.   
- The Boulevard piloted national standards and was among the first 15 to have achieved certification from the National Institute of Medical Respite Care (NIMRC). 
- Our program leaders have welcomed teams from peer organizations (and frequent collaborators) in Chicago for visit to The Boulevard to offer mentorship and technical assistance as they launch small medical respite services in the region (i.e., 2-6 beds).</t>
  </si>
  <si>
    <t>The FY26 budget reflects achievable revenue and expense targets based on historic performance and forecasted funding as well as anticipated funding changes at the federal level. At present, public funding represents 54% of total revenue. Recent efforts focused on private philanthropy (i.e., special events fundraising) have exceeded expectations. Achievement of selected funding targets fell short of goal due largely to timing issues that were outside of The Boulevard’s control. However, due to careful monitoring of expenses, The Boulevard remained in a healthy financial position as FY25 concluded. 
Two years ago, The Boulevard engaged Open Door Advisors to craft a two-pronged strategy to position the organization for growth and sustainability. The Boulevard’s leadership has already acted upon major recommendations including successful certification as a Medicaid Behavioral Health Center provider. To implement services on a fee for service basis, program leaders have developed new data infrastructure, clarified responsibilities, hosted training to develop new competencies, and invested in long-term planning to consider how best to expand medical respite bed capacity and ensure access to housing. In addition, a companion facility needs assessment is underway to identify and prioritize capital needs as part of strategic, incremental growth. 
At the same time, the Board and CEO continue to explore partnership opportunities to build on institutional strengths while pursuing common goals to end and prevent homelessness. For example, The Boulevard has been approached by local medical providers to explore a contract relationship to run medical respite / shelter operations. The Boulevard is also driving development of a network of referral organizations to ensure access to psychiatric and specialty care.
Finally, The Boulevard recently secured a grant from the State of Illinois to conduct a strategic plan to update the organizational theory of change, formalize the pillars that will guide strategy and growth, and consider how best to navigate the uncertain policy landscape that poses both threats and opportunities. A strategic planning committee convened in July and selected Conlon Strategies from a pool of four applicants. The kickoff meeting will be scheduled in August 2025 with an objective to complete and publish the plan by February 2026.
Taken together, The Boulevard is well positioned to steward and diversify the existing funding base while also planning for future growth and sustainability.</t>
  </si>
  <si>
    <t>COMMITTED Reva and David Logan Foundation	$138,000 (plus $25,000 challenge match) 
PENDING Pritzker Family Foundation	$125,000	(request for year two implementation)
PENDING Wheaton Franciscan Sisters Ministry Fund	$75,000 (renewal request)</t>
  </si>
  <si>
    <t>U.S. Department of Housing and Urban Development (HUD)  $376,941
City of Chicago Department of Family Support Services (DFSS) $1,602,400
City of Chicago Department of Public Health (CDPH) $363,440</t>
  </si>
  <si>
    <t>1%</t>
  </si>
  <si>
    <t>20 - 39 years old
40 - 59 years old
60 years or older</t>
  </si>
  <si>
    <t>Adults age 18 years and above.</t>
  </si>
  <si>
    <t>Black / African American</t>
  </si>
  <si>
    <t>100% - All clients are experiencing homelessness.</t>
  </si>
  <si>
    <t>https://www.jotform.com/uploads/Sol_Flores_sflores/242752736237461/6291803269255122767/FY%2026%20ORG%20BUDGET%20WITH%20COMPARISON.pdf
https://www.jotform.com/uploads/Sol_Flores_sflores/242752736237461/6291803269255122767/Blvd%20501c3.pdf
https://www.jotform.com/uploads/Sol_Flores_sflores/242752736237461/6291803269255122767/Boulevard%20Board%20List%20w%20affiliations%2007.23.25.pdf
https://www.jotform.com/uploads/Sol_Flores_sflores/242752736237461/6291803269255122767/BOULEVARD%20FY24%20Audited%20FS%20and%20SAR.pdf
https://www.jotform.com/uploads/Sol_Flores_sflores/242752736237461/6291803269255122767/AG990.pdf
https://www.jotform.com/uploads/Sol_Flores_sflores/242752736237461/6291803269255122767/Key%20Staff%20BIOS%20BLVD%2002.14.25.pdf</t>
  </si>
  <si>
    <t>The percentage of public funding is 55% versus 45% from private sources including individuals, special event proceeds, foundations, corporations, congregations, and hospital/MCO contracts.</t>
  </si>
  <si>
    <t>The Boulevard accepts 99%+ of its referrals from the City of Chicago (citywide). Under specific circumstances, The Boulevard has enrolled clients from providers based in suburban Cook County.</t>
  </si>
  <si>
    <t>East Garfield Park</t>
  </si>
  <si>
    <t>banderson@icstars.org</t>
  </si>
  <si>
    <t>Inner-City Computer Stars</t>
  </si>
  <si>
    <t>364253411</t>
  </si>
  <si>
    <t>750 N Orleans</t>
  </si>
  <si>
    <t>Suite 500</t>
  </si>
  <si>
    <t>60654</t>
  </si>
  <si>
    <t>https://www.icstars.org/</t>
  </si>
  <si>
    <t>Brian</t>
  </si>
  <si>
    <t>Anderson</t>
  </si>
  <si>
    <t>Director of Foundation Relations</t>
  </si>
  <si>
    <t>312-319-7195</t>
  </si>
  <si>
    <t>Elizabeth</t>
  </si>
  <si>
    <t>Ferruelo</t>
  </si>
  <si>
    <t>Chief Revenue Officer</t>
  </si>
  <si>
    <t>eferruelo@icstars.org</t>
  </si>
  <si>
    <t>312-487-2208</t>
  </si>
  <si>
    <t>1998</t>
  </si>
  <si>
    <t>33</t>
  </si>
  <si>
    <t>10</t>
  </si>
  <si>
    <t>400</t>
  </si>
  <si>
    <t>Total Racial Composition (112 individuals)
Anglo/Caucasian: 50.89%
Black or African American: 31.25%
Hispanic/Latiné American: 10.71%
Asian American - 6.25%
Did not Disclose - .89%
Total Gender Composition (112 individuals)
Man/Male = 54.46%
Woman/Female = 44.64%
Did Not Disclose = .89%
Board Racial Composition (70 individuals serve on national board and local advisory boards)
Anglo/Caucasian: 61.43%
Black or African American 24.29%
Hispanic/Latiné American: 8.59%
Asian American - 5.71%
Board Gender Composition (70 individuals serve on national board and local advisory boards)
Man/Male = 65.71%
Woman/Female = 34.29%
Staff Racial Composition (42 total staff)
Anglo/Caucasian: 33.33%
Black or African American: 42.86%
Hispanic/Latiné American: 14.29%
Asian American - 7.14%
Did not Disclose - 2.38%
Staff Gender Composition (42 total staff)
Man/Male = 35.71%
Woman/Female = 61.90%
Did Not Disclose = 2.38%</t>
  </si>
  <si>
    <t>I.c.stars is revolutionizing access into the technology ecosystem through a transformative, learning experience that connects talented adults to tech industry and civic leaders. These connections lead to individual, business, and community transformation as program graduates launch and build their tech-related careers.</t>
  </si>
  <si>
    <t>Dec 31, 2025</t>
  </si>
  <si>
    <t>Economic Mobility</t>
  </si>
  <si>
    <t>Twenty-five years ago, Sandee Kastrul, a high school science teacher, co-founded i.c.stars after discovering that her brightest students were taking low-wage jobs due to a lack of support and opportunities. With the “dot-com” industry booming, she connected with local leaders to create a two-year workforce technology program that builds a pathway for career-driven and passionate adults into the tech industry. Today, i.c.stars works in Chicago, Kansas City, and Milwaukee, with alumni holding leadership positions at Fortune 100 companies, serving on non-profit boards, and dozens becoming serial entrepreneurs as web designers, database managers, and cybersecurity consultants.
I.c.stars’ work drives toward three organizational goals. They are:
- deliver a project-based model that will prepare participants to be workplace and community leaders. I.c.stars will track program enrollment and skill acquisition.
- reduce unemployment rates in disconnected communities by supporting program graduates in their job search. I.c.stars will track the speed to placement and earnings increases.
- cultivate civically engaged leaders. I.c.stars will track volunteer experiences, pursuit of higher education and certifications, and career advancement.
i.c.stars recruits career-driven adults who are unemployed or underemployed and who have not had opportunities for formal education beyond high school. Our program is open to all individuals, and we are proud to have a participant base that reflects the diverse experiences of our city locations. Over 95% of participants identify as people of color, over 40% are women, and more than 40% care for children. Nearly 40% are under the age of 26, and 46% live in zipcodes with 10% or more of the population living in poverty.
Our two-year program is divided into three periods: a 14-week training period, a 90-day bridge period, and a 20-month residency period. During the 14-week training period, a corporate sponsor provides a real-world challenge that the cohort (20-25 participants) works on in small groups. Workshops develop business, leadership, and technology skills that provide participants everything they need to present an initial concept during week 4 and a final concept during week 10. Also during this period, participants receive weekly stipends ($300-$350, depending on the city location) and case management referrals to help reduce barriers. Participants who complete all learning objectives progress to the 90-day bridge period, during which staff and volunteers support their job search. Finally, throughout the residency period, participants attend networking events and professional development opportunities, such as financial planning, tech certification courses, and continued barrier-reduction services.</t>
  </si>
  <si>
    <t>In 2024, i.c.stars underwent an extensive program assessment. Led by our Chief Learning and Program Officer, i.c.stars updated the metrics we use to reach our organizational goals, including aligning curriculum workshops with CompTIA certifications and achieving faster speed to placement.
Our current key performance indicators (KPIs) took effect in 2025, intending to consistently reach them by 2026. For each training cohort, they will have:
- an 80% graduation rate from the 14-week Training Period. (quantitative)
- 80% of participants will report improved well-being upon completion of the 14-week Training period. (quantitative with qualitative responses)
- 80% of participants secure employment within 90 days of completing the 14-week Training period. (qualitative) 
- 80% of participants regularly engage in services provided during the Residency Period. (quantitative with qualitative responses)
- participants see an increase of 250% to their annual earnings.
I.c.stars educational approach can be seen in four distinct ways. First, i.c.stars utilizes a project-based learning structure that reflects current corporate business practices, empowering participants to step into their first role with confidence. Second, i.c.stars’ cohort model provides a testing ground for participants to gain interpersonal skills and emotional leadership as they work in small groups to build and present their initial concepts and then iterate on them to present final solutions to corporate partners. Third, participants engage daily with corporate, civic, and tech leaders who share their professional journey during our High Tea Speaker Series, facilitate workshops on a variety of topics, and provide introductions and mentorship as participants begin their job search. Finally, i.c.stars has alumni serving throughout the organization to illustrate that success is possible; alumni hold positions on the program and leadership teams, serve on our national board, and participate on local advisory boards.
I.c.stars tracks metric progress starting with the application process. i.c.stars captures baseline data, which includes questions about education, pre-program employment, finances, debt, credentials, and demographics. Case managers participate in group interviews to note any barriers or challenges that each participant may face. Then, staff administer participant surveys at three, nine, and fourteen weeks to measure overall satisfaction (via a Net Promoter Score), learning skill development, well-being, and personal reflections. Additional surveys and check-ins repeat throughout the 90-day bridge and 20-month residency periods.
After each 14-week training period, staff compile this data along with feedback from the corporate partner into a retroactive report that is shared with the larger staff and board members. Staff use the successes, challenges, and lessons learned to make improvements ahead of the next training cohort. More importantly, these KPIs and reports enable i.c.stars to understand how our program is performing against trends in the tech industry, which is constantly in a state of flux as new technologies impact hiring trends and coding languages, to name a few.</t>
  </si>
  <si>
    <t>CEO Karin Norington-Reaves brings over 30 years of experience spanning education, law, advocacy, community development, and workforce development. Dr. Cheryl Camacho, Chief Learning &amp; Program Officer (CLPO), earned her Ed.L.D. in educational leadership at Harvard and brings over 20 years of experience in all aspects of education. Our Executive Directors, Blanca Gonzales (Milwaukee), Shamika Hogan (Kansas City), and Larry Cowans (Chicago), are seasoned leaders in the nonprofit and tech industries, creating local partnerships and driving program innovation. Larry Cowans is also an alum, having graduated from Chicago’s Cycle #2, and bringing over two decades of technology development and program management experience to our participants.
As our CLPO, Dr. Cheryl Camacho, oversaw the 2024 program evaluation and implemented staff training to prepare everyone for the new program elements. This year, she continues to support program teams by hosting weekly meetings for program staff to share best practices, challenges, and program updates. Supporting Dr. Camacho is Jessie Curry, the newly hired Director of Curriculum &amp; Experiential Learning, who brings over ten years of experience in alternative teaching methods and evaluation.
In addition to our senior leadership, we have three program teams, each consisting of program managers, technology trainers, case managers, and talent placement specialists, who will work directly on this project.</t>
  </si>
  <si>
    <t>I.c.stars serves two communities. 
Our primary community is composed of adults seeking economic mobility and new opportunities for themselves and their families. As explained above, our participants have numerous opportunities to provide feedback during the program. After they complete the program, they can join our alumni association, which meets regularly with senior leadership to provide feedback, insights into market trends, and share hiring practices. Additionally, our recruitment specialists partner with numerous community-based organizations to offer introductory workshops and open houses, discussing common barriers and challenges that individuals face and the types of barrier reduction support necessary to ensure success in our program.
The second community comprises business leaders and hiring managers who seek out our talent. Our program teams work with these organizations on varying levels to secure volunteers and sponsorships for training cohorts, guest speakers and attendees for quarterly events where i.c.stars invites current tech leaders to engage with our current participants to meet the future of the tech industry, and most importantly, to discuss job opportunities and the skills necessary to thrive in the tech industry as participants graduate and look for tech-related employment.</t>
  </si>
  <si>
    <t>Partnerships are critical to i.c.stars' success as we build a pipeline that identifies, trains, and supports talented individuals in launching their tech careers. These partnerships range from formal to informal, with some signing contracts when serving as sponsors for our training cohort and others providing letters of support when acting as referrals for our case managers.
Most partnerships are maintained at the local level as they support a specific city program. Still, some partnerships span multiple locations or involve senior leadership at a national level to ensure that both parties benefit from the collaboration (e.g., SIM (Society of Information Management), Chicago Innovation, United Airlines, Milwaukee County, and Accenture).
Recruitment partners assist i.c.stars by offering space for introductory tech workshops, inviting program staff to open houses and job fairs, and recommending their clients to enroll in our workforce program. These include community-based non-profit organizations, local businesses, and job centers (e.g., UMOS, North Lawndale Employment Network, and Metropolitan Community College).
Client and Community partners work with i.c.stars case managers to provide barrier-reduction services. These include government programs through family services, rental assistance programs, and health and legal support, among others. Sometimes these organizations also serve as recruitment partners, given the shared population we serve.
Business (especially Tech) Industry partners and employers sponsor training cohorts and provide real-world challenges for participants to solve, as well as recruit volunteers to serve as mentors and workshop facilitators. Additionally, many of these partners offer job opportunities, having worked directly with participants and understanding the unique skills and talents our graduates bring to the workplace. </t>
  </si>
  <si>
    <t>Inspired by Martin Luther King Jr., who wrote that “achieving racial justice starts with stable jobs, living wages, affordable housing, quality public education and participation in the leadership of society,” i.c.stars empowers young people to launch careers in the tech industry to drive real change in themselves, their communities, and workplaces.
I.c.stars staff give deliberate attention to the systemic impact of racist systems while recognizing that participants will be entering workplaces that may still rely on these structures. i.c.stars teaches interns how to identify systemic oppression by approaching it with design thinking, start-up strategies, and civic engagement. Staff encourage participants and alumni to use their voices and leadership skills, trusting in themselves as they transform into creators (and no longer consumers) of technology.
Our barrier-reduction services enhance this mindset shift, with i.c.stars offering weekly stipends, mental health counseling, and case management referrals during the first 14 weeks. Then, for the remainder of the program, participants have access to mental health counseling, case management referrals, emergency funds (for rent, childcare, and utilities), industry certifications, technical mentorship, higher education opportunities, and networking events.
Finally, i.c.stars emphasizes building participants’ social capital through volunteers, quarterly events, and inviting over 100 volunteers to engage each training cohort. Our current CEO, Karin Norington-Reaves, first connected with i.c.stars as a High Tea guest and will share how, within minutes of leaving the office, she had received LinkedIn requests from nearly all the participants. For her, this demonstrated their confidence in reaching out and building a relationship with a potential mentor or employer, and was a driving factor in Karin considering the role of CEO when the position became available in early 2024.
Jeremy Washington, Chicago Cycle 32, shared how i.c.stars impacted his career in tech and why he constantly returns to support participants: https://youtu.be/IaDBwp1MPmc?si=w8Oj7GekbgEWHJrq</t>
  </si>
  <si>
    <t>Since its inception, i.c.stars has designed our program to address and dismantle the root causes of racial inequity: a lack of access to education and economic opportunity. Through our unique approach (as described in question 3), we create access to two types of power: the power of being part of an inspired community and the power that comes with a career pathway into technology.
Participants gain new skills, build confidence, and engage with current technology leads as peers and professionals. They visit workplaces to witness and observe how teams function and then replicate that in their small group work back at i.c.stars. They meet daily with leaders through our High Tea Speaker Series, where guests share their professional journeys and answer questions from participants. Most importantly, i.c.stars staff treat participants as peers and consultants, building solutions for a corporate client.
For corporate partners and tech leaders, the i.c.stars program exposes them to future employees and technology innovators. Many corporate leaders agree to participate as a mentor or share their journey at High Tea only to come back and volunteer for the next cycle, or in the case of one CTO, return to their company and work with their HR director to remove degree requirements for entry-level positions to provide i.c.stars graduates with a chance to secure employment. 
Regardless of how individuals come to know i.c.stars, they are invited into the transformational power of belonging to an inspiring community of peers and champions that fosters growth in leadership, technology, and business development and provides access to the economic power gained through clear career pathways into tech, while supporting career advancement and networking opportunities in a human-centric environment.
As one participant shared in an exit interview, “I truly love the i.c.stars program and it has definitely given me the confidence I needed to be able to get into the tech space.”</t>
  </si>
  <si>
    <t>i.c.stars maintains a robust financial position with careful management of our liquid assets. Our primary operating account maintains a balance of &gt;$500,000, ensuring immediate access to funds for our day-to-day operational needs.
In addition to our operating account, we have strategically allocated reserves of approximately $6,000,000 across FDIC-insured high yield certificates of deposit (CDs) and savings accounts. These reserves serve as a substantial financial buffer, providing stability and security for our organization.
Based on our current expenditure levels, we can sustain our operations for approximately 13 months solely from our existing reserves.
This liquidity statement, and accompanying 3-month Cash Flow forecast below, underscores our commitment to prudent financial management, ensuring that we are well-prepared to navigate potential challenges and leverage opportunities for growth and impact in the future.</t>
  </si>
  <si>
    <t>Secured
Iconiq Capital LLC - $1,415,001.76
Kinship Foundation - $300,000
Kauffman Foundation - $245,500.00
Pending
Endeavor Health Capacity Grant - $500,000
Mariner Wealth Advisors &amp; Bicknell Family Foundation - $200,000
Motorola Solutions Grant - $100,000</t>
  </si>
  <si>
    <t>Public Service Commission of Wisconsin - $200,000 (secured)
SNAP for Success Reimbursement Program - $140,000 (secured and ongoing)</t>
  </si>
  <si>
    <t>99</t>
  </si>
  <si>
    <t>1</t>
  </si>
  <si>
    <t>0 - 19 years old
20 - 39 years old
40 - 59 years old</t>
  </si>
  <si>
    <t>Currently, participants must be 18 years of age and our primary target age group is 20-26 year olds.</t>
  </si>
  <si>
    <t>https://www.jotform.com/uploads/Sol_Flores_sflores/242752736237461/6291100109427630729/i.c.stars%20Board%20and%20Advisory%20Members%20for%20Knight%20Impact%20Partners.pdf
https://www.jotform.com/uploads/Sol_Flores_sflores/242752736237461/6291100109427630729/i.c.star%20Key%20Staff%20Bios%20for%20Knights%20Impact%20Partners.pdf
https://www.jotform.com/uploads/Sol_Flores_sflores/242752736237461/6291100109427630729/FY24%20i.c.stars%20full%20audit%20report.pdf
https://www.jotform.com/uploads/Sol_Flores_sflores/242752736237461/6291100109427630729/i.c.stars%20501c3%20determination%20letter.pdf
https://www.jotform.com/uploads/Sol_Flores_sflores/242752736237461/6291100109427630729/i.c.stars%20Form%20990%2C%202023.pdf
https://www.jotform.com/uploads/Sol_Flores_sflores/242752736237461/6291100109427630729/FY24%20and%20FY24s%20i.c.stars%20Budget%20to%20Actuals%20for%20Knight%20Impact%20Partners.pdf
https://www.jotform.com/uploads/Sol_Flores_sflores/242752736237461/6291100109427630729/FY25%20i.c.stars%20Budget%20for%20Knight%20Impact%20Partners%20-%20Overall%20Budget.pdf</t>
  </si>
  <si>
    <t>https://www.jotform.com/uploads/Sol_Flores_sflores/242752736237461/6291100109427630729/2024-25%20i.c.stars%20Media%20Mentions_%20Knight%20Impact%20Partners_6932.pdf
https://www.jotform.com/uploads/Sol_Flores_sflores/242752736237461/6291100109427630729/i.c.stars%202025%20National%20Program%20Overview_7452.pdf</t>
  </si>
  <si>
    <t>Of our total FY25 budget of $8M, public funds account for 4% and private funds account for 96% derived from private donations, corporate sponsorships, grants, and fee for service.</t>
  </si>
  <si>
    <t>No one specific neighborhood has more than 10% of of our participants, but historically, 33% have come from the South Side (namely Auburn Gresham, Chatham, and South Shore), 19% from the North Side (namely, Logan Square, Rogers Park, and Uptown) and 14% from the West Side (namely, Austin and North Lawndale)</t>
  </si>
  <si>
    <t>Jul 22, 2025</t>
  </si>
  <si>
    <t>mlydon@revolutionworkshop.org</t>
  </si>
  <si>
    <t>Revolution Workshop</t>
  </si>
  <si>
    <t>82-2354651</t>
  </si>
  <si>
    <t>3410 W Lake St</t>
  </si>
  <si>
    <t>https://www.revolutionworkshop.org/#/</t>
  </si>
  <si>
    <t>Megan</t>
  </si>
  <si>
    <t>Lydon</t>
  </si>
  <si>
    <t>Director of Development</t>
  </si>
  <si>
    <t>708-517-0324</t>
  </si>
  <si>
    <t>Manny</t>
  </si>
  <si>
    <t>Rodriguez</t>
  </si>
  <si>
    <t>mrodriguez@revolutionworkshop.org</t>
  </si>
  <si>
    <t>773-934-3014</t>
  </si>
  <si>
    <t>2017</t>
  </si>
  <si>
    <t>Staff - Gender
Male: 30%
Female: 70%
Staff - Race/Ethnicity
Black: 56%
Latinx: 12%
Middle Eastern: 3%
White: 29%
Board - Gender
Male: 60%
Female: 40%
Board - Race/Ethnicity
Black: 53%
Latinx: 7%
White: 40%</t>
  </si>
  <si>
    <t>Mission: Revolution Workshop (RW) is a nonprofit social enterprise that provides construction workforce development for unemployed and underemployed people in partnership with area businesses. We deliver financial independence and careers through skills, hope, and resilience.
Vision: To advance social and economic equity and peaceful communities for all people.</t>
  </si>
  <si>
    <t>Programs: Revolution Workshop’s Pre-Apprenticeship Construction Job Training Programs
About RW
Revolution Workshop (RW) builds skills, hope, and resilience in Chicago’s underserved communities through accredited job training and job placement into the construction trades, career advancement support, and transitional employment opportunities within our social enterprise.
RW was founded in 2017 as a 501(c)3 to achieve a two-fold mission: to reduce inequity in Chicago by providing training leading to financial prosperity for marginalized people in the city and beyond; and to address the acute talent shortage in the construction sector by providing diverse trained workers to skilled-trades employers.
Since 2018, we have trained 546 individuals with a completion rate of 80%, a placement rate of 85% with average starting wages of $20/hr, and a retention rate of 85% at the three-month mark. 15% of our graduates have entered into registered union and non-union apprenticeships. We maintain a robust employer network of more than 300 companies, of which 181 have hired at least one graduate of the program.
Target Population
RW serves individuals between 18 - 39 who are unemployed or underemployed. The vast majority of our trainees come from the city’s west and south side neighborhoods of Austin, Humboldt Park, East and West Garfield Park, North and South Lawndale, Englewood and West Englewood, Auburn Gresham, Chatham, Woodlawn, Pullman and West Pullman, South Chicago, and Greater Grand Crossing. We have also seen a spike in participants from far south suburbs since the launch of our Roseland location, coming from Chicago Heights, Dolton, Dixmoor, Harvey, and others.
Our trainees mirror the demographics of these neighborhoods:
-73% identified as Black, 23% as Latinx, and 4% as white.
-100% of trainees qualified as low-income, with 90% living in households that make under $25,000 per year.
-43% of trainees received SNAP benefits, many due in part to our supportive services.
-70% of our trainees were unemployed at the outset of training, and 17% had less than a high school diploma.
-Of those who disclosed, 20% of our trainees identified as returning citizens, and 25% noted some form of justice involvement (e.g. misdemeanor or felony convictions, arrest record, etc.).
-Nearly 22% of our trainees identified as women and 78% as men. 43% of trainees were between the ages of 18 - 24, 38% between 25 - 31, and 19% between 32 - 40.
It is worth noting that individuals who participate in our Professional Pathways Program tend to have a higher rate of employment at the beginning of training (70%), have higher levels of education (all participants must have a HS Diploma or GED), and are often already working in the construction field and are looking for a way to grow their career.
Key Activities
RW’s Pre-Apprenticeship Training Programs, made up of two distinct offerings, don’t simply train to the needs of the construction field—they encompass a wide range of strength-building opportunities that empower trainees to break down their barriers to success and navigate the pervasive inequality they’ll encounter in the world. Our programs serve as a bridge across sectors, connecting disenfranchised communities of color with an industry in dire need of workers.
Trades Pathways Program
RW provides a 12-week pre-apprenticeship training program based on the National Center for Construction Education and Research’s (NCCER) accredited Core curriculum to three adult cohorts per year—January, April, and July—at facilities in East Garfield Park and Roseland. Instructors cover foundational skills, like safety, hand and power tools, construction math and blueprint reading, materials handling, and communication. As trainees progress through the program, project-based work in electrical, plumbing, drywall, carpentry, and roofing are introduced. Through our historic preservation initiative, trainees also gain exposure to high-demand fields like masonry, windows, and plaster restoration as well as learn the history of the surrounding communities with our partner, Chicago Mahogany Tours. Capstone projects include working on a home in partnership with Habitat for Humanity. Each trainee earns three industry-recognized, nationally portable, and stackable credentials—the NCCER Core and OSHA-10 Safety certifications and a First Aid/CPR credential.
Professional Pathways Program
Much like the fieldwork side of the industry, there is a talent and diversity shortage in the design and project management roles within clean energy, architecture, engineering, and construction.
The vast majority of entry-level roles in these fields require some level of college education, which is a hurdle for underserved people who lack access or opportunity to pursue post-secondary education. In response to this gap, and in partnership with industry leader ComEd (an Exelon Company) and funder Autodesk Foundation, we launched the pilot cohort of our new Professional Pathways Program in September 2023 and subsequently embedded the program into our offerings in 2024.
RW’s Professional Pathways Program offers a new entry point into the trades for individuals who have an interest in the design and project management side of the sector. It also offers another opportunity for graduates of our Trades program to continue upskilling themselves with an eye toward career advancement.
Our Professional Pathways Program takes place over the course of 14 weeks through a mix of night and weekend sessions totaling 210 hours. Participants develop foundational skills in building systems and construction concepts, AutoCAD, and project management; complete an intensive bridge program in numeracy and digital literacy; and are provided with the full range of holistic services noted above. Graduates are then placed into jobs like project coordinators, assistant project engineers, estimators, and entry-level CAD drafters with companies ranging from general contractors and clean energy to engineering and architectural firms. Starting hourly wages range from $25 - $30/hr.
Of note, we are currently working with City Colleges of Chicago to form an articulation agreement so that our training program can earn credit towards a college degree.
Holistic Services
Charting a path toward success requires more than understanding how to use hand and power tools. Our program blends employment, executive functioning, and financial capabilities skills-building—all with a construction focus—into our curriculum in the form of group sessions and workshops as well as strength-based, trauma-informed 1:1 coaching and counseling. 
Employability
Trainees get to know the ins and outs of construction culture through employment and soft skills sessions. Everything from job search, interview skills, and navigating the apprenticeship landscape to worksite communication and conflict resolution is covered. A special emphasis is placed on core attributes identified by our employer partners: attitude, personal responsibility, accountability, and integrity.
Executive Functioning
Executive functioning skills are key for construction jobs, where the ability to find solutions and diffuse situations in a fast-paced environment is critical. Our curriculum delves into topics like adaptability, self-monitoring and control, time management, organization, and problem solving.
Financial Capabilities
RW’s mission speaks to helping graduates of our program achieve financial prosperity. As such, we embed a comprehensive financial capabilities component into our curriculum. In addition to helping our trainees address immediate financial issues that might prevent them from completing the program, we also include topics like budgeting, saving, investing, credit and debt, banking, identity theft, taxes, and managing the ebbs and flows of seasonal work.
Supportive Services and Barrier Reduction Funding
Our trainees come to us with myriad barriers to tackle, and we provide extensive case management and coaching throughout the program to help them address challenges big and small. We provide transportation assistance to get to and from training; a basic set of tools, boots, books, and materials for learning; daily lunches; and a weekly stipend. We cover the costs associated with getting a driver’s license, obtaining important identifying documents, cell phone bills, and more. Through our barrier reduction funding, we're able to pay for several months' rent, car repairs, and more. And we provide linkages to community partners for mental health, housing, and legal services. 
Job Placement
RW carefully matches trainees and graduates with employer requirements and workplace culture to ensure the best fit for both parties. Individuals are placed in entry-level construction jobs—union and non-union—with one of our 300+ employer partners at an average starting wage of $20+/hour. RW is also a preferred referral partner for the Carpenters’ Union and is recognized by the Laborers’ and Electricians’ Unions.
Career Growth Services
The construction sector can be challenging to navigate, particularly for people of color and women, and post-training offerings are necessary for retention and advancement. We’ve built our Career Growth Services to help graduates continue their career paths. Programming like this is rarely covered by government workforce funding, so we’ve sought out private foundation funding to implement what we view as a critical service for our graduates.
Our Career Growth Services encompasses a wide range of offerings—from worksite conflict resolution coaching to providing transitional employment via our social enterprise for graduates who are waiting for their new jobs to kick off. We explore wealth-building with alumni through financial counseling, long-term planning, and workshops. But the core components of this initiative are concentrated on career advancement. We focus on the continual upskilling of our graduates through in-house training opportunities on a host of topics and specializations. We also provide ongoing assistance for those grads who are applying to or are participating in union and non-union apprenticeship programs, including providing a stipend to help with basic needs during the initial unpaid weeks of their respective programs.
Employer Engagement
RW takes a uniquely cross-sector approach to our work by considering the companies that hire our graduates to be our second customer. We make certain that the construction industry in Chicago is bought into the community impact we’re driving toward by inviting our employers to participate in all aspects of our programs.
We maintain a demand-driven curriculum informed by our highly engaged Employer Advisory Council (EAC)—a group of industry leaders who have the pulse on the construction, engineering, clean energy, and architecture sectors. We gather surveys and insights from our EAC to identify both their needs in the field and any gaps in our curriculum, and we then analyze those insights to determine appropriate interventions to meet those needs in real time. 
We also invite our broader network of 300+ employers (117 of which have hired at least one trainee) to get involved through job site tours, mock interview days, specialization workshops, and much more. In taking this sectoral-based approach to the next level, we’re ensuring that our trainees develop in-demand skills that make them highly employable while also providing a workforce that the sector needs. 
Social Enterprise
RW’s Social Enterprise is made up of two distinct arms—our woodworking arm, which crafts wood-based home goods and custom furniture for residential and commercial customers, and our contracting arm, which renovates and rehabilitates dilapidated homes to expand affordable housing stock in the city.
Much like RW’s pre-apprenticeship programming, our Social Enterprise operates with a dual purpose—to generate revenue in support of our mission and, more importantly, to provide transitional employment to our alumni.
Goals
See “Success and Impact Measurement” Below.</t>
  </si>
  <si>
    <t>Community Development</t>
  </si>
  <si>
    <t>In 2025, we expect to train 160 individuals through our two programs—100 in our Trades Pathways Program and 60 in our Professional Pathways Program. The Trades Pathways Program will have five cohorts instead of six due to ongoing renovations at our East Garfield Park Headquarters.
We look at a range of near-, medium-, and long-term indicators and metrics to determine our impact on the communities we seek to serve and the construction sector.
Near-Term Indicators
We measure outcomes like the percentage of trainees who graduate (goal: 80%) and the percentage of graduates who are placed into employment (goal: 90%). 
Medium-Term Indicators
We measure the percentage of employed graduates who retain their job at the three-, six-, and 12-month mark (goal: 85%, 80%, and 70% respectively). 
Long-Term Indicators
Our long-term impact metrics drive toward our vision of advancing social and economic equity and peaceful communities for all people. These serve as KPIs and help us prioritize org-wide initiatives. 
Closing the Wealth Gap for Communities of Color
Our programming is transforming lives, families, and in the long-term, communities. We’re getting there, and here’s what we’re measuring: 
-Percentage of graduates who advance in their careers (union and non-union).
-Percentage of graduates who increase their credit score.
-Percentage of graduates who build assets through car/homeownership.
Increasing Equity and Inclusion in the Construction Sector
There is a dearth of diversity in the construction sector, and we work tirelessly to fight for greater equity and inclusion in the field. We are but one small piece of the greater ecosystem, and so we are measuring:
-Number of construction companies that have hired an underrepresented individual from us.
-Percentage of graduates employed in the union, and specifically the percentage of underrepresented individuals.
-Successful policy changes that advance progressive hiring practices in the field.</t>
  </si>
  <si>
    <t>Below are the bios of key leaders who are engaged with this work. Our leaders are experts in their fields, securing millions of dollars and training hundreds of individuals from a variety of backgrounds. It is because of our leaders—two of whom have been involved with the organization since its inception—that we are successful. 
Manny Rodriguez, Executive Director: Throughout his 18+ year career in economic development, Manny has been an advocate for Chicago’s underserved communities. He graduated from the University of Illinois at Urbana-Champaign and served for seven years as the Vice President of Economic Development for the Alliance for Illinois Manufacturing. Afterwards, was employed as the Director of Replication for the Jane Addams Resource Corporation (JARC). Currently, he is a sitting member of the Illinois Workforce Innovation Board (IWIB) and its Equity Taskforce. Manny co-founded Revolution Workshop in 2017 to provide pathways to family-sustaining careers in the South and West sides. 
Jackie Gallo, Senior Director of Programs: Jackie Gallo has over ten years of experience in the nonprofit sector, with six of those years focused on workforce development. She's been surrounded by the construction sector from an early age and has been at Revolution Workshop since the beginning. Her favorite part of RW is the strong sense of community surrounding it—the non-profit partners, trainees, alumni, construction companies, and advocates that are all working together to create something great. She was voted one of 2022's "Most Influential Women in Construction" by B/ACE Magazine. She received her B.A. in Environmental Sciences from Northwestern University.
Janae’ Reilly, Pre-Apprenticeship Program Director: Since a young age, Janea' has had a desire to work with marginalized people by working to help them gain access to resources and develop the skills needed to become leaders in their communities. Her passion for working in the community and aiding in personal development led her to Revolution Workshop. She holds her Master’s degree in Psychology with a focus on Community Development. Janea’ combines this expertise with deep empathy to help Revolution Workshop trainees overcome challenges and realize their full potential. 
Jasmine Thomas, Career Growth Director: Jasmine Thomas is profoundly committed to helping others realize their full potential. She graduated from Eastern Illinois University with a degree in Africana Studies and a minor in Sociology.  She has been with RW since 2019, serving first as the Program Associate and then as the Program Coordinator where she grew a love for teaching financial literacy. Now, Jasmine serves as RW’s Director of Career Growth Services. She brings rigor and sensitivity to her role managing the team that empowers RW alum on the road to financial success through continuous leveling up in their careers. Jasmine is dedicated to her own personal growth and education including pursuing a Certificate in Trauma Informed Leadership.</t>
  </si>
  <si>
    <t>RW operates with the belief that those we serve have the greatest understanding of what they need to succeed. As such, we incorporate the perspectives and lived experiences of the communities and individuals we serve in a number of ways.
Trainees
We solicit feedback anecdotally and via surveys from our trainees throughout and at the end of our training program, incorporating insights and recommendations into our curriculum and training methodology. 
Alumni
We seek out insights via an annual survey from our alumni who have been working out in the field to better understand the ongoing supportive services they need; identify how we can improve our training for future cohorts; and understand the additional educational opportunities that will help advance their career—and then we implement those adjustments. 
We also invite graduates to participate in our higher-level planning through various channels. We invite graduates to sit on our program committee, and we have formed an Alumni Board, which meets bi-monthly. This board is made up of 10 graduates from the past seven years of our program. We leverage their insights and experience to improve our training, employment, recruitment, and career growth services. 
Staff
Nearly 13% of our staff members are graduates of our program. They infuse their lived experiences into the services they provide to our trainees and graduates, and they ensure that those we serve see themselves represented in our team. 
Community
On a community level, we partner with more than 45 community groups, infusing their insights and experiences into how we collaborate and serve their clients. We attend and gather feedback from Town Halls and Listening sessions related to a variety of issues facing Chicago residents. We make sure we’re present at community outreach events specific to local construction projects so that we can hear community concerns about access to opportunities and speak with construction companies about partnering to create a more inclusive field. Finally, we sit on the Austin and North Lawndale Quality of Life Plans, the CSAC violence reduction group, and the Austin Workforce Collaborative to ensure that we are incorporating the varied perspectives and needs of the neighborhoods we serve.</t>
  </si>
  <si>
    <t>RW understands that we are but one small piece of the broader human services ecosystem and that we are not experts in all of the services that our participants might need. As such, we have cultivated a broad range of partnerships in an effort to support our participants and help them achieve lives of prosperity.
We maintain strong relationships with alderpeople, high school administrators, and social service providers across the city who refer constituents and clients to our program. Partners include BUILD Chicago, Chicago Jesuit Academy, YWCA, Institute for Non-Violence, North Lawndale Employment Network, Inspiration Corporation, UCAN, Westside Health Authority, TASC, CSAC, IDOC, and many more. In collaboration with Heartland Alliance's READI Chicago program, RW provides job training to their Austin and North Lawndale clients experiencing street violence and homelessness, yet are ready to join a training program. We partner with Ashunti House and IMAN to provide services for participants who are houseless; we connect participants who are using substances with Above and Beyond; and Beyond Legal Aid provides in-house legal clinics.
Within our Trades Pathways Program, we are partnering with Literacy Chicago to provide bridge services around literacy and numeracy, including group sessions and 1:1 tutoring.
For our new Professional Pathways Program, we are partnering with Literacy Chicago for services noted above as well as ScaleLIT, which provides the digital literacy portion of the program. We are also partnering with regional utilities leader ComEd (thought partner, training assistance, curriculum partner), funder Autodesk Foundation (funding partner, software donations, train the trainer), and the City Colleges (articulation agreement).
Our work experience is yet another area where we leverage partnerships for the benefit of our trainees. As shared previously, we engage with Habitat for Humanity, CEDA, Neighborhood Housing Services, Power Construction, Community Neighborhood Initiatives, and more.
RW partners on advocacy initiatives to shape workforce policies that lift up and build strong communities. Most recently, we collaborated with Chicago Women in Trade to advocate for more progressive and equitable hiring practices within the construction industry at the state level. We continue to participate in the Austin and North Lawndale Quality of Life Plan teams to implement community development plans.</t>
  </si>
  <si>
    <t>RW’s vision is to advance social and economic equity and peaceful communities across the greater Chicagoland region. Diversity, equity, and inclusion are why we exist, and these principles are at the core of all that we do.
70% of our team identifies as people of color. They reflect a variety of socioeconomic backgrounds and over half currently live in the impacted communities we serve. We got here through a number of key hiring efforts: where possible, we have removed the requirement for a college degree, and we explicitly state a priority around hiring people with lived experiences. Additionally, we offer generous professional development funding and aim to promote from within—all to ensure we are being inclusive and equitable in how we grow our team members and our organization.
Our board is equally diverse, with over half identifying as people of color and nearly half working out in the community as leaders of nonprofits.
Programmatically, our commitment to DEI is reflected in who we serve. Over 96% of participants identify as people of color, and 100% are considered low-income. We intentionally minimized eligibility requirements so that our program is inclusive of populations that might otherwise be passed over with similar programs; we actively enroll individuals who do not have HS diplomas or a driver's license, and over a third of participants have some form of justice involvement—from simple arrest records on up to felony murder convictions.</t>
  </si>
  <si>
    <t>RW is a continuously evolving organization, creating new pathways, providing novel services, and innovating on our participants’ challenges. To this end, there are three specific program elements that are our most innovative.
Career Growth Services
You learned about our Career Growth Services program earlier in this application, but we didn’t share the history. At the outset of the pandemic in 2020, we learned that more than half of our employed graduates lost their jobs due to the economic slowdown of the construction sector. We quickly raised funds to provide emergency grants to our alumni, distributing over $50,000 for rent and basic needs. Once the pandemic plateaued, we reassessed our alumni-focused efforts with guidance from our alumni via a survey, and we expanded the offerings into what is now called Career Growth Services.
Professional Pathways Program
Countless employer partners and leaders in the construction, architecture, engineering, and clean energy sectors have shared that the acute talent shortage experienced on the fieldwork side of the industry affects their entry-level professional roles as well. Furthermore, the office-side of the industry is absent of diversity, as entry-level roles often require some level of college education, blocking many Black and Brown people from entering the field due to their lack of opportunity to afford or receive a post-secondary education.
In the fall of 2022, we set out on a partnership with industry leader Commonwealth Edison and funder Autodesk Foundation to imagine what a new career pathway focused on design and project management could look like. We piloted our Professional Pathways Program in the fall of 2023, and formally embedded the program as part of our Pre-Apprenticeship Construction Job Training Programs in 2024.
Our Professional Pathways Program is a first-of-its-kind pre-apprenticeship in the U.S., and we are working closely with employer partners to flesh out this novel pathway. We are also in the early stages of talks with several companies that are interested in launching their own in-house apprenticeships around this concept. We would collaborate with these employer partners on the set-up and management of the apprenticeships, allowing us to adjust our curriculum to properly prepare candidates for these respective programs. This support would involve case management and the provision of supportive services for apprentices.
RWheels
In 2021, we launched a car loan program called RWheels, through which graduates can access low, fixed-rate consumer loans for vehicle purchases. Owning a vehicle is critical for the construction field, as relying on inconsistent public transit severely limits the opportunities available to our grads. We have helped six graduates of our program obtain cars through this program offering.</t>
  </si>
  <si>
    <t>Our fundraising strategy—with individual donors, foundations, and other funders alike—is focused on cultivating multi-year and general operating investments that enable us to innovate on our communities’ challenges while diversifying our revenue streams to ensure long-term sustainability. 
We currently receive multi-year funding from a wide array of funding sources. 
Federal: Department of Labor (two multi-year grants, lasting through 2029)
State: Department of Human Services (one multi-year grant, lasting through 2027)
Private/Corporate: Autodesk Foundation (through 2027); JP Morgan Chase (through 2027); Chicago Community Trust (through 2026); Bank of America Neighborhood Builders (through 2026); Hunter Family Foundation (through 2026); Circle of Service (through 2026); Kemper Education and Charitable Fund (through 2027); Richard Drihaus Foundation (through 2027); Polk Brothers Foundation (through 2027); Paul Angell Family Foundation (pending, through 2027); Helaine Edgar Opportunity Fund (pending, through 2027); Lloyd A. Fry Foundation (pending, through 2027)
Many other grants, including those through the State of Illinois, are one year in length with the potential for renewal; we have a nearly 100% renewal rate with those funders, signaling great trust in our vision from our portfolio of funders.</t>
  </si>
  <si>
    <t>Autodesk Foundation, $400,000 (pending renewal)
JP Morgan Chase, $200,000 (renewed)
Chicago Community Trust, $150,000 (second year of two-year grant)</t>
  </si>
  <si>
    <t>U.S. Department of Labor, $2 million (over five years, through 2029)
Illinois Department of Commerce and Economic Opportunity, $1 million (across three grants, one year)
Illinois Criminal Justice Information Authority, $350,000 (one year)</t>
  </si>
  <si>
    <t>18-39</t>
  </si>
  <si>
    <t>https://www.jotform.com/uploads/Sol_Flores_sflores/242752736237461/6290151310753227116/RW%20Board%20of%20Directors%20-%202025.pdf
https://www.jotform.com/uploads/Sol_Flores_sflores/242752736237461/6290151310753227116/Key%20Staff%20Bios.pdf
https://www.jotform.com/uploads/Sol_Flores_sflores/242752736237461/6290151310753227116/RW_24_Audit_FINAL.pdf
https://www.jotform.com/uploads/Sol_Flores_sflores/242752736237461/6290151310753227116/RW_FY25_Budgets%20-%20Organization.pdf
https://www.jotform.com/uploads/Sol_Flores_sflores/242752736237461/6290151310753227116/RW_IRS%20501c3%20designation.pdf</t>
  </si>
  <si>
    <t>https://www.jotform.com/uploads/Sol_Flores_sflores/242752736237461/6290151310753227116/Program%20Flyer.jpg
https://www.jotform.com/uploads/Sol_Flores_sflores/242752736237461/6290151310753227116/2024%20Impact%20Report.pdf</t>
  </si>
  <si>
    <t>43% Public
57% Private (including individual donations, corporate and private foundations, social enterprise sales, fundraiser, etc.)</t>
  </si>
  <si>
    <t>East Garfield Park - 50%
Roseland - 50%</t>
  </si>
  <si>
    <t>Jun 10, 2025</t>
  </si>
  <si>
    <t>james.pfluecke@gmail.com</t>
  </si>
  <si>
    <t>Kuumba Lynx</t>
  </si>
  <si>
    <t>36-4246321</t>
  </si>
  <si>
    <t>3524</t>
  </si>
  <si>
    <t>W. Monroe St.</t>
  </si>
  <si>
    <t>https://www.kuumbalynx.com/</t>
  </si>
  <si>
    <t>Jaquanda</t>
  </si>
  <si>
    <t>Saulters</t>
  </si>
  <si>
    <t>jaquanda@kuumbalynx.com</t>
  </si>
  <si>
    <t>773-550-3849</t>
  </si>
  <si>
    <t>Jacinda</t>
  </si>
  <si>
    <t>Bullie</t>
  </si>
  <si>
    <t>Artistic Director/Finance</t>
  </si>
  <si>
    <t>jacinda@kuumnbalynx.com</t>
  </si>
  <si>
    <t>773-550-4229</t>
  </si>
  <si>
    <t>1996</t>
  </si>
  <si>
    <t>20</t>
  </si>
  <si>
    <t>Kuumba Lynx’s (KL) Executive Director, Jaquanda Saulter is African American. KL was founded by three women, one Black, one Latina, and one mixed race white and Choctaw, all three of whom continue to lead the organization. Our Board Chair is Korean American.
95% of our staff identify as BIPOC (all except our grant writer and one seasonal arts facilitator). Supporting leadership identifies as First Nation, Latinx,  and of African &amp; Afro Caribbean backgrounds. Our staff is 80% Black, 5% First Nation/White, and 15% First Nation/Black.
89% of our board identifies as BIPOC. Our Board of Directors is 45% Female, 55% male, and 67% African American, 11% African, 11% Asian American, and 11% White.</t>
  </si>
  <si>
    <t>Mission: Kuumba Lynx is committed to cultivate strong communities built on a foundation of love. We utilize arts-based healing and wellness modalities to reimagine, practice and demonstrate a more just and equitable world.
Our vision: Kuumba Lynx was founded in 1996 by three 20-year-old women who were frustrated with concentrated and rising juvenile arrests, gang violence, drug addiction and failing school systems in their communities, impacting themselves and their peers. We wanted to find a powerful and motivating force to engage and support youth, young adults and their families. That force was Hip Hop. Over the course of nearly 3 decades, we have engaged with young adults who suffer from disinvestment in their communities, racialized trauma, systemic violence, systemic education failures and miseducation, inadequate affordable housing/homelessness, and poverty, which itself is a major source of trauma. In response, we have curated a wellness continuum of arts-based care and healing modalities that include talk therapy, peace circles, and young adult lead spaces for an ongoing examination and critical analysis of the systemic issues causing them harm. In order to support these young adults, our arts-based healing approach begins with opportunities to deeply reflect and embrace their own identities as a source of resilience and joy, address their traumas, and define, create and forge their own unique paths to becoming the best versions of themselves while proactively reciprocating collective care and contributions to upliftment and healing of their own communities.</t>
  </si>
  <si>
    <t>Primary Focus: With the Health and Human Services support of Knight Impact Partners, we will remain rooted in our mission, and committed to our continuum of programs that will support the wellbeing of young adults ages 16-26 and their families, while helping to close the life expectancy gap within Chicago’s most vulnerable neighborhoods. Our arts based healing and wellness programs focus is informed by the "Healthy Chicago 2025 Strategic Plan" which notes the root causes of health inequity including economics/poverty, housing, access to health care, and mental health supports. KL’s offerings of a wide array of programs ranging from theatre, music, dance, and cooking classes to individual talk therapy, group therapy, peace circles to fashion, design, and community engagement, podcasting and event planning opportunities, all while providing (in partnership) social services for individuals and families, are propelled by analysis such as the 2021 American Association of Medical College’s findings. Their research notes that Illinois has the capacity to meet just 24% of the mental health needs of the state. Since inception, KL has been “filling in” where the state is unable to, and over the last 10 years we have greatly increased this focus on mental health and wellness and young adult programming (70% of our programming in 2024-25)..
Our Hip Hop Arts and Wellness Continuum for young adults ages 16 to 26 meets the critical need of the community to provide alternatives to violence and address the trauma that is at the core of the adverse behavior and high risk of involvement in violence and the criminal justice system of our young adults. We provide a comprehensive approach to trauma, healing, and violence prevention by creating a space built on the principles of Transformative Justice. Through arts, wellness, and healing, we will directly address the trauma of young adults in our community caused by racism, sexism, institutional violence, community violence, and other sources. We give young adults the tools they need to avoid being perpetrators and victims of violence and to be leaders in the transformation of their communities.
Our arts based healing and wellness Continuum is the incubation, development, and production space for all community engagement, including but not limited to health and wellness, art making, performances, arts education, civil engagement, and Transformative Justice practice. The Continuum allows for young adults to participate at any point in their journey toward wellness. We facilitate brave, creative spaces for young adults to engage with art and culture making to address key issues impacting BIPOC communities. 
Why Arts and Wellness together? Hip Hop is BIPOC young adult culture. It encourages brave space that seeks to imagine and practice what being safe might look and feel like. In 2024, an 18 year old participant started engaging with our As I Am activities in order to acquire a higher level art making skill set and a career path. He frequently gave feedback that the knowledge ciphers (discussion and study of systemic challenges and how they impact individuals) and peace circles were corny. Our pedagogy values rituals and space for reflection, we circle up as ceremony at the opening and closing of each session. In this format, we require participants to engage in critical conversations and popular education workshops, and to be versed in peacemaking and transformative justice circles. We do this so that everyone in the session can witness each other, somatically engage, and identify emotions and practice expressing and communicating them. This allows us to address our happiness, fears, disappointments, feelings of inadequacy, grief, contentment, and or other emotions that young adults are holding on to. We do this to empower ourselves to identify and understand, and explore how we want to manage our emotions. We do this to engage with and define collective care and brave space for ourselves. For months, this young man was withdrawn and would only perk up during actual dance classes. However, he consistently showed up, little by little participating and even sharing a reflection here and there. Then, one day near the end of the season, he approached a KL Arts Facilitator,  expressing how supported and understood the (KL rituals) had made him feel. A few weeks later, on his own will, requested individual therapy sessions, and advocated for his partner to receive some support as well. He started therapy a week later, and eventually with the support of KL staff was able to secure health insurance and continue his therapy through his insurance carrier. His story demonstrates what can happen when a young adult is offered space and support, they will take the initiative to curate their own healing journey, provided resources to do so are accessible.
Target Population:   
Kuumba Lynx has permanent spaces in three communities, Englewood (1213 Arts Center &amp; Gifts From God Center), Garfield Park (601 People Hub), and Uptown (Arts &amp; Healing Center). Though we are based in three distinct communities, participants represent over 27 different communities. Annually, we engage 1200+ young adults ages 16 to 26 and their families. From 2021-2024, we employed approximately 350 young adults per year at a minimum of 10 hours per week. 70% of the young adults we engage are African American, 25%, Latinx, and the remaining 5% are a mix of multi racial, First Nation, Southeast &amp; Asian American, African and Arab. Kuumba Lynx engages young adults and their families whose communities have been divested in. They often have been expelled from high school and have dropped out of the workforce. They are one of Chicago’s largest and most underserved victims of violence. These young adults experience homelessness and criminalization, live in communities that have low quality and or little to no fresh produce. They live with the reality that they are amongst the demographics living in community areas with life expectancy rates much lower than the citywide average https://chicagohealthatlas.org/. (Life expectancy is the average age that someone in that community can expect to live and is a measure of the general health of a population.)  
Kuumba Lynx seeks to understand and respond with health and human service support for young adults and their families. KL as a community of artists, healers, and mentors who believe our investment in a young adult's economic, physical, psychological, and spiritual health will lead to better economic and social outcomes, where they feel brave, mostly safe, economically secure, and have stronger family connections that ensure they are able to navigate their lived experiences and lean into their best selves. We tend to the needs of young adults through a continuum of programming that centers their emotional and physical wellness. While engaging them in creative making opportunities, we offer access to resources for basic needs (for example, after inquiring and collecting mutual aid need data, we raised more than $100,000 for basic needs support in the first 13 months of the pandemic). We prioritize asking young adults and families what they need to be well, both physically and emotionally. We rely on evidence based research and feedback of participants. In response to reports like ones declaring that south and west side young adults have minimal opportunities for high quality arts learning experiences and the impact that the lack of such supports has on one's mental health, KL’s 2025 strategic programming plan developed an approach centering unique creative arts and healing opportunities. As arts facilitators, educators, healers, and change makers we are facing unprecedented mental health challenges amongst young adults and their families. Some of the truths that we have been deeply considering in our strategic program planning include:
-40% of high school students report persistent feelings of sadness or hopelessness- these youth come to us as young adults a few short years later.
-Approximately 50% of U.S. adults report experiencing loneliness, with higher rates among young adults.
-44% of LGBTQ+ youth and young adults seriously considered suicide in the past year. 
-For those ages 15-24, time spent with friends in person has decreased by almost 70% over two decades.
This data informs our approach to young adult programming and our creative expression process. We facilitate engagements without expecting perfection or mastery because we know it reduces anxiety that can impede learning, creativity, and participation. Young adults examine problems in ways to access their own ideas and to creatively address root causes of violence and their personal trauma and healing. KL’s arts based healing considers the whole person of the young adults we engage with. We facilitate arts learning that embraces critical consciousness and emphasizes physical/emotional safety, belonging and ownership, self-worth, self-discovery, quality relationship building, and space for expressing/forming values. 
In late 2024, KL’s strategic plan incorporated portions of a Garfield Park study that addressed the conditions of one of our city’s most dispossessed communities. We held critical dialogue with our participants from those communities and planning sessions in response to Sankofa Garfield Park residents research and findings that affirmed the need for arts based healing and wellness programs that emphasized history, resilience, and culture at the foundation of  healing, empowerment, and repair. 
Key activities and Continuum Components Include:
KL Arts &amp; Healing (KLAH) located in Uptown is curated by KL co-Founder, Leyda Garcia, who is currently a member of the City of Chicago’s 2025 Healing Arts Chicago Artist Cohort, where as a certified community health worker, practicing professional dancer and creative, she works to bridge the realms of arts, health, healing, and wellness. Similarly, Leyda‘s role at KLAH is to amplify the proven benefits of arts engagement in fostering holistic recovery, well-being and social cohesion in our most vulnerable communities. Leyda is also a past 3Arts Chicago Award winner. She is supported by both professional community partners and individual therapeutic and wellness practitioners and arts based healers/facilitators, including her Co-Founders, both practicing creatives and Hip Hop artists- Jaquanda, is a certified Yogi and Reiki Master, and Jacinda, a community health specialist, doula, and level two certified Shiatsu practitioner. They are two of the lead wellness modalities facilitators, offering seasonal classes  and assisting with KLAH operations. 
A key and growing component of KLAH  is that we provide professional support, such as talk therapy sessions from therapists trained in techniques like Cognitive Behavioral Therapy (CBT), Dialectical Behavior Therapy (DBT), and somatic experiencing. KLAH also hosts peer-led groups that offer community and shared experiences. For the last years and a half our Uptown space was under renovation and working to renew a business license. During that time, we continued to conduct healing circles in Uptown in shared spaces as well as in Englewood and Garfield Park.  The restorative justice practices and peace circles, coupled with arts-based healing offerings, free talk therapy and various wellness modalities including acupuncture, massage, reiki, and nutritional workshops provided young adults space to address their trauma, identify their emotions, learn how to resolve conflict in a positive manner, create therapeutic works of art and practice general wellness hygiene. 
KLAH will now provide, in addition to restorative justice and peace circles, Social Emotional Learning workshops, a weekly schedule of up to ten movement making classes to support mental health and wellness. In addition to the movement-based offerings, arts-based workshops such as storytelling, somatic play, writing, visual arts, yoga, meditation, music, and birth support will be offered to young adults and their families.  
Through newly forming and existing community partnerships like Sarah's Circle, Logan Foundation Food pantry, Metropolitan Tenants Association, E.A.T., Westside Justice Center, Alder Angela Clay’s Office (who is a KL Alumnus), ONE Northside, and others, KLAH offers access to resources for basic needs.
As I Am is a healthy diversion for young adults ages 18-25 who are not feeling welcomed in traditional arts professional training programs and who have aged out of traditional citywide youth programs. AS I AM interrupts unhealthy pathways and systems by encouraging young adults who feel excluded, disposed of, and/or unaffirmed in their community’s educational and youth development institutions and young adult programming. AS I AM supports young adult change makers and creatives who are seeking a career in the arts and/or youth development. 
As I Am has engaged an average of 120 emerging young adult artists the last three years. The purpose of As I Am is to provide professional training and support to aspiring professional artists (including performers, artists, stage crew, choreographers, song writers, etc), arts educators, and arts administrators. As I Am meets the needs of our young adults while providing diversity (gender, race, ethnicity, LGBTQ) to the professional arts community and equity of opportunity to low-income young adults of color who do not have the financial or cultural resources to succeed in traditional arts career tracts. As I Am innovates by providing professional development nested within an existing organization for a population greatly underserved by the Chicago arts community, allowing for staff time, resources and designated space to support their specific needs moving young adults toward an artistic career. A component of this program places As I Am participants in residence in our partner organizations to manage peace circles, conflict resolution, and other violence prevention activities.
Chicago Poetry Making Playground (PMP) located in Garfield Park is facilitated by a team of arts facilitators and trained professionals, including the curators, Kuumba Lynx Co- Founders, Jacinda &amp; Jaquanda. Jaquanda is a Towards 2040 Creative Leaders Fellow (https://wblinc.org/2040fellows-jaquanda-saulter-villegas)  recipient and Jacinda is a 3Arts Community Arts awardee (https://www.3arts.org/artist/jacinda-bullie/). Together they are the Spring 2025 Co-MISSION Fellows-in-Residence at Links Hall, where they are developing a Podcast and new Hip Hop Theater work that explores their first publication, FILLINZ, Put Some Respect On It. Two local collaborating artists include avery r young (Chicago Poet Laureate) and E’mon Lauren (Chicago’s first Youth Poet Laureate).
PMP is an initiative that seeks to narrow Chicago's racial life expectancy gap through community building, experimental play, and joyful learning. PMP aligns with Healthy Chicago 2025, a citywide plan to advance health equity across Chicago’s neighborhoods by bridging service gaps and looking at root causes for disparities in health outcomes. PMP is housed at the Westside Justice Center/Chicago People’s HUB, with a mission to establish healthier and stronger community accessibility to creative play, engaging activity, and joyful learning. 
PMP engages families from across the city and more specifically, Garfield Park and North Lawndale. Here, young adults and their families have access to fun, engaging, rigorous, brave, joyful and accessible community building and play space. Young adults and their families, experiencing a range of socio - economic and wellness barriers come together at this interactive arts-based healing and wellness pop-up space for wellness experiences that range from poetry and improv theater to comedy and mutual aid support. Simultaneously, through our programmatic commitments and community partnerships, many co-located in the space (see partner question below) they have access to resources and support such as food and toiletry giveaways, legal and tenants' rights support and wellness modalities. PMP facilitators and creatives curated this interactive space because historically they have honed a creative practice that thrives at the intersection of arts and health seeking to create liberating healing spaces where joy, justice and liberation are accessible to everyone and made possible at the expense of no one.</t>
  </si>
  <si>
    <t>80000</t>
  </si>
  <si>
    <t>Hip Hop embraces identity and offers ways to express that identity. It places great importance on claiming a stake in one’s own sovereignty and education. Tribe Called Quests’ Q Tip tells us “Hip Hop believes that people can take control of their lives through self-knowledge and self-expression.” It engages communities in understanding and interrogations of history and its impact, values, and ideas, and adds intellectual reflection to support and inform our lived experiences, in our struggle toward joy, justice and freedom for everyone at the expense of no one. Hip Hop, as an urban expression of the experiences of racism, disinvestment, and, yet, hope, is a strength that pulls our young adults together. Hip Hop allows us to reach young adults where they are and provide them with a positive outlet for their creativity, their emotions, their struggles, and their challenges as impoverished young adults of color in Chicago. Our impact is an age-appropriate Continuum of Hip Hop Arts and Wellness programs that enters their experience on healing from racial trauma. 
Assessment/Measurement: KL is deeply invested in assessing and evaluating our Arts Education, Healing Arts, Restorative Justice, and Health and Wellness programs to ensure we are providing a meaningful and effective impact on the lives of young adults and their families. KL collects questionnaires and conducts a debriefing session after each KL staff training, each training the KL staff conducts with young adult participants and partners, after select performances (young adult performers and audience), after select peace circles with participants, and, on a staff level with participant input, on each Restorative Justice intervention. Participant surveys are used each program cycle. Assessment will measure learning, outcomes, and effectiveness. We conduct formal and informal focus groups with participants at least once per month, and our daily Peace Circles often also inform our formal assessment.  
Evaluation: KL’s programs are evaluated by our 5 person core staff leadership team on at least a quarterly basis (more often if required by circumstances). Using the above assessment tools, KL will review the outcomes and effectiveness of each programmatic component in a manner that focuses on improving staff and participant learning, improving young adults health, wellness, and other positive outcomes (employment, lack of gang participation, enrolled in higher education or job training, etc), and Restorative Justice programming.
Success is keeping young adults out of jail and in school/employment/training. Success is young adults staying out of jail and using KL’s arts training to stay on track for a career in the arts (as artist, teachers, administrators, youth development workers, etc) or their chosen career path. Success is our participants using RJ methods in other parts of their lives.
We like to measure impact by asking ourselves how the ways we engage will lead to meaningful change and transformation. So we ask our participants to do a lot of self reporting and reflection on their feelings and attitudes through written surveys, individual vlog, feedback during opening and closing peace circles of session and meeting. We also assess through self reporting surveys that look at the raw #s, both  are important because they allow us  to make quick calculations (quantitative), to put meaning and context to those findings (qualitative).
We consider short and long term goals, what we need and who has the capacity to take it on to be successful when planning our engagement each season. Our staff traditionally will use a logic model for planning engagement activities and create inputs, activities, outputs, outcomes, and impact statements to keep us focused on our goals and how we can measure getting to them. We hold two, 4 day all staff retreats each year and a 2 week training in June to thoroughly interrogate our programming and community work in order to ensure it resonates with and maintains relevance to young adults.</t>
  </si>
  <si>
    <t>Kuumba Lynx Executive Director Jaquanda Saulter is a Fly Girl Chicagoan by way of South Carolina. Jaquanda is one of the three Founders of Kuumba Lynx. She has been engaging youth, young adults, and their families in Hip Hop Arts Activism and Culturally Relevant programming for 29 years. Jaquanda get’s FREE as an Arts Educator, Mentor, Yoga Instructor, Shamanic Reiki Healer, Performance Artist, Arts Administrator, International Peace Movement Honorary Ambassador, and Hip Hop Theater Director. As a healer Jaquanda is dedicated to holding space for community to address harm, break generational curses, and interrupting systematic sabotage by re-engaging in indigenous and african healing practices. Alongside the KL family, she is responsible  for day to day operations including organizational strategizing, creative visioning, praxi sharing, facilitating &amp; managing arts classes, event implementation, org visibility, HR, financial management &amp; fund development, curriculum development , and wherever else she is needed!   
KL Creative Lead, operations manager, and co-founder, Jacinda Bullie is an instigating art maker, creative activator, and practicing heart soother. This sage burning Muslim seeks to practice gratitude &amp; presence. Jacinda likes to write poems, perform, paint, build mixed media, talk story, move and engage in radical love play. She is a poet, Hip Hop Theater producer, host, arts facilitator &amp; manager who finds freedom in remembering that she is simply a spiritual being having an earthly experience.  Jacinda has always been a natural critique of circumstances, interrogating the world through an Uptown Chicago upbringing.  She is dedicated to amplifying &amp; loving all that is sweet and sometimes a bit too raw. Curating creative, loving and critically questioning  spaces is one of her true passions.  Jacinda is a 2022-25 Inner-city Muslim Action Network” Sacred Cypher” resident artist,  where she is encouraged to work at the intersection of culture, social justice, and community. Her mixed media installation work can be seen in Atlanta’s West End community, and Chicago’s south side Englewood community at IMAN  and on the west side at the Poetry Making Playground. Jacinda is currently a Links Hall Co-MISSION Fellow-in-Residence and was most recently awarded the 3 Arts Community Award. Her fierce inquiry of the world has anchored her into Kuumba Lynx, since the beginning in '96. As a founding member, she is the current Creative Lead of Chicago Hip Hop Theater Fest, As I Am initiative, and KLAH.  Alongside the KL family, she is responsible  for day to day operations including organizational strategizing, creative visioning, praxi sharing, facilitating &amp; managing arts classes, event implementation, org visibility, HR, financial management &amp; fund development, curriculum development, etc.  
Leyda “Lady Sol” Garcia is a proud, first generation, Mexican-American dance professional from Chicago who is globally recognized as a teaching artist, creative director, and cultural peace keeper.  She has worked with major media networks including BET, MTV, NBC, and TBS, alongside super-stars Madonna, Missy Elliott, Lauryn Hill, Wyclef Jean, and Bob Marley’s son, Damian Marley. Leyda is a co-founding member of Kuumba Lynx (never full time employed by KL), an internationally-recognized arts organization that empowers young people through the cultivation of hip-hop arts education and social activism. Since 2005, Lady Sol has been a passionate teaching artist with Urban Gateways, After School Matters, and morphed into a self-proclaimed Professor of Practice who has taught fusions of Afro-Caribbean &amp; Hip-Hop movement workshops at numerous institutions including Harvard U, Columbia College, Northwestern, Stanford, and University of Chicago. 
In 2023 she became an inaugural cohort healing artist and completing a national certification as a Community Health Care Worker (CHW) with Healing Arts Chicago, the first city-wide program to integrate art as a healing practice within Chicago's mental health clinics. This certification included 6 credited courses inclusive of mental health, nutrition, public health, arts wellness case studies, field work, and community health care. Working alongside clinicians and Chicago’s Department of Public Health, this cohort of artists have developed and implemented healing arts offerings that include sound meditation, yoga practice, breath work, and dance healing wellness for women.  
In 2025, Healing Arts Chicago artists have partnered with numerous local health and wellness organizations working to improve the quality of life for communities impacted by opioid usage. Leyda is currently consulting Kuumba Lynx with launching programming at their new arts &amp; healing space in Uptown. Considering offerings will nurture youth development through peace circle keeping and nutrition education. Women’s wellness offerings will include somatic healing,  Nidra yoga, and womb wellness. In Lady Sol’s own words, “Live simply, give whole-heartedly, and wish for others what you wish for yourself.”</t>
  </si>
  <si>
    <t>As noted above, Kuumba Lynx was founded in 1996 by 3 young women who were frustrated with concentrated and rising juvenile arrests, gang violence, drug addiction and failing school systems in their community. They wanted to find a powerful and motivating force to engage and support young adults like themselves. That force was Hip Hop. KL is committed to developing art and culture projects and providing access to programs that preserve, promote and present Hip-Hop culture where young adults and their communities will be engaged in transformative opportunities to realize a more socially just world. After 29 years, KL is deeply embedded in Chicago’s theater and performance, arts education, and youth development communities. We receive referrals to our program from the criminal justice system, community service providers, and faith communities. KL seeks to energize courageous spaces that challenge young adults and their communities to deeply engage and listen, critically observe and react, and creatively speak with one another. 
We connect deeply with the community when designing our programming and making decisions. We founded KL when we were 20 years old and deeply embedded in Uptown’s youth culture. We work hard to ensure that our programming continues to be connected to young adults in an engaging manner. Every August we hold a retreat for 2-3 days for staff and young adult leaders to reflect upon the previous year. Our co-directors step back and listen as participants and staff (many of them in their 20’s) analyze our programming, dream up and create new approaches, &amp; modify or end programs that are not meeting the needs of our participants. 
Our As I Am program exemplifies our connection to the needs of the community- it was created in response to a growing demand from young adults for artistic professional development that will help them turn their artistic talent into an artistic career. Over the last decade (we piloted As I Am in 2017), more and more young adult alumni were coming back to KL after graduating out of our programming and asking us for support. They were struggling to find a place for themselves in the traditionally white dominated spaces of Chicago's arts community, often uncomfortable in and unable to afford traditional pathways to careers in the arts. In response, the core components of this program, professional artistic development and career development, were created by the young adults asking us for training. Instead of saying, “this is our program-we offer music production on Thursday, dance on Friday, and song-writing on Saturday,” we ask each participant what specifically they want to do and then we connect them with a professional teacher/trainer/coach/mentor to ensure that their career professional and career development needs are met in a well-rounded, comprehensive way.
Our mental health focused wellness offerings are now deeply embedded in our programming as a result of a similar participant centric process of making sure our programs meet the urgent needs of young adults.</t>
  </si>
  <si>
    <t>We envision Kuumba Lynx as a critical art making and healing space anchored in transformative justice values as a foundational part of our approach to building community. Our identity as artists, instigators, co-conspirators, activists, organizers, healers, and conveners is rooted in our collective wellbeing and commitments to doing our individual labor toward our best selves. This informal collective of organizations and performance groups shares a belief that art and culture is a liberatory tool for learning, and unlearning, imagining and practicing trusting and making space adore mistakes understanding that we are all working to hold the belief that we are each better than our worst mistake and deserve to be well. Our creative process toward performance, installation and practice includes a method of ongoing personal analysis and popular education and engagement around identity, power and oppression. We are a learning collective, sharing best practices, pedagogy, challenges and lessons learned, and collaborating to move forward the work of directing resources (foundation, public and private spaces, City resources) towards healing and arts education for BIPOC identifying communities. The socially conscious art we create re-centers Chicago’s white dominated arts and culture community. 
As noted above, KLAH, recently renovated, is a space dedicated to arts based healing and wellness modalities for youth, young adults, and their families across the city. The space offers ongoing support for young adults that include KLAH provides weekly programming to support young adults and family social-emotional wellness and physical needs. Through our partnerships with  Sarah's Circle, Logan Foundation Food pantry, Metropolitan Tenants Association, EAT (support for ex-offender young adults), Westside Justice Center, Alder Angela Clay’s Office (she is KL Alumnus), ONE Northside, and others , KLAH offers access to resources for basic needs. We maintain a list of social service and low-cost health care providers in each of the core communities we serve.
We work closely with our peer arts organizations such as Young Chicago Authors and the 1213 Arts Center, and community organizations such as IMAN.
We collaborate with a fairly large group of community based dance, poetry, writing, performance and visual arts groups and formal organization. We collaborate in this space with Elephant Collective, Honeycomb, Young Chicago Authors, Youth Speaks, 1213 Arts Center, Loyola University, Chicago Learning Exchange, Greenline Theatre, and 6 different dance crews, and others. One partnership we want to highlight is with Gifts from Gods Ministry in Englewood, which hosts a series of intentional elder/youth engagements within our Hip Hop Arts Continuum. Another is ChiNations Youth Council, a Native American youth and young adult organization with whom we partner for arts, culture, and traditional healing practices.
Transformative Justice and Restorative Justice Training Partners: Just Practice, Trap House, A Long Walk Home, Illinois Caucus for Adolescent Health, and Chicago Freedom School. They will be contracted to provide a variety of TJ, RJ, and racial healing training sessions based on their individual strengths and experiences.
We are an important part of 601 People’s Hub (formally Westside Justice Center ) located at 601 S. California in Chicago’s Garfield Park community. We are co-located with Ujima Medics (teaching young adults emergency first aid, especially for gunshot wounds), Know your Rights Campaign (for young BIPOC adults forced to interact with police and the criminal justice system), Chicago Bail Fund, West Side Justice Center (free legal aid and advocates for criminal justice system reform), Equity and Transformation (EAT-advocacy and services for formerly incarcerated young adults), and other community grassroots collectives and organizations. This synergy means a lot to the West Side and we are very proud to be a part of this Hub and the ways in which KL participants are shaping its future. Here KL participants and staff are able to obtain needed services and support for themselves and their families through these partners AND are able to be active participants and leaders in the work of these organizations. For example, Ujima Meds have trained our staff and more than 160 KL participants in gun violence first aid, and more than a dozen of our young adult participants are active leaders in the drug war advocacy work of EAT. Similarly, we run arts programming for these organizations and embrace their young adults in our Continuum.
Bringing Arts Education and Transformative Justice to other spaces:  KL is often called upon by schools and groups across the city to assist in establishing Safe and Brave spaces for young people. We have trained youth and young adults in circle keeping, shared our learning around TJ values and the implementation of restorative and accountability processes.  We regularly convene folks from across the city in popular education and culture creating practices, and facilitate regularly scheduled peace circles for other groups. We hold this space as a means to center our partner’s work on the needs, ideas, and leadership of their participants to more deeply engage young adult participants and draw out how they are experiencing that organization and how that organization can be better centered on addressing racial trauma and engaging youth leadership.</t>
  </si>
  <si>
    <t>We are a Black Women led organization that was founded by three women, one Black, one Latina, and one mixed race white and Choctaw. Our Board Chair is Chinese American.
KL’s Executive Director, Jaquanda Saulters is African American. Supporting leadership identifies as First Nation, Latinx,  and of African and Afro Caribbean backgrounds. As we challenge the traditional hierarchy of Not For Profits, particularly board structures,  we work to create a more shared leadership model. KL believes diversity is really about power. The young adults who come to KL are centered and often the ones driving methods and means of engagement. Being a welcoming community for all young adult participants, regardless of which of these identities and life experiences defines them, is central to our identity as an organization and was a motivating factor in our co-leadership approach at inception in 1996. 
We have a firm set of practices that ensure we remain a BIPOC led organization. We add board members based on their commitment to KL’s mission and curate the board in such a manner that it always has a BIPOC super majority. We take the same approach with our leadership staff, and prefer to hire arts facilitators from our alumni or those of our peer organizations, and to promote from within when hiring supervisory or managerial staff.
Equity is a foundational principle and Goal of Kuumba Lynx. The KL Strategic Plan is rooted in the concept of Transformative Justice and creating safe spaces for all young adults and especially those who are, girls/women, LGBTQ, Latinx (25%), African American (70%), Native American (1%), and Arab (2%+), and low-income (90%). They come from diverse home environments and family composition but 90% are low-income and many have experienced homelessness, the incarceration of a parent and/or sibling (or themselves), and/or childhood trauma. KL’s programs are explicitly designed to help young adults ages 16-26 create art and expression that draws on their experiences of race, class, gender, ability, and sexual identities. Expressing a critical analysis of these issues via Hip Hop Theater is central to our pedagogy.
KL embraces LGBTQ young adults and actively teaches our young adult participants to reject “rape culture” and learn how to create consent-based friendships and romantic relationships. We strive to ensure that all of our spaces and activities are not just welcoming but brave and liberating, especially due to the legacy of some commercial Hip Hop being homophobic. While our focus has been on structural racism and sexism, we have been encouraging young adults and staff to consider all of the ways in which language reinforces binaries and this is something we will work on in 2025.
Finally, we bring diversity to the Chicago Arts scene. We train young Black and Brown hip hop theater artists and bring their work to the broader Chicago arts scene, especially to the traditionally White dominated theater culture. We provide professional training for Black and Brown artists who, for reasons of income, culture, and opportunity, are not able to find training in the traditional arts pathways.</t>
  </si>
  <si>
    <t>Innovative and Unique Approach to Addressing root causes of young adults of colors’ alienation, mental health, and systemic racism: KL’s approach to building community and establishing strong foundations for young adults and their communities to thrive is rooted in inquiry based critically engaging learning that encourages folks to question why things are the way they are and to question the question. We teach young adults to build trust in themselves, believe in their bodies and individual lived experiences. We engage the collective imagination invested in a more just and equitable world. We believe we can dream and reimagine that which has harmed us. We give grace in our practice and we know it is healthy to critique it. KL combines opportunities to be creative, actively reimagine and rewrite the dominant narratives that marginalized young adults of color and their oppressed communities experience. With trauma-informed practices, structural critique and a practice that is embedded in the aforementioned values, we can challenge harmful norms and try out new models built upon trust and the knowing that we all are invested in something more just for everyone. 
Our approach to systemic impact encourages self-reflection, somatics, ancestral practices, and mindfulness, where young adults address intergenerational trauma, violence, and mental health stigmas in a brave setting that prioritizes their experiences, their stories, and their dreams for a more inclusive and thriving world. This normalizes collective care, builds solidarity, challenges community and young adult misrepresentation, white supremacy, and cultural erasure, replacing deficit-based language with rigor, engagement, joy, resilience, and pride. We fill a systemic gap in Chicago’s social service community by focusing on young adult mental health.
One way this can look in practice is that a seasonal project or collaborative campaign with partners might center gender violence or toxic masculinity, or a larger campaign might aim to reduce recidivism. Our collaborative partnerships are anchored by the aforementioned philosophies that will interrogate the root causes by looking into the possible underlying causes of crime, such as poverty and lack of opportunity. We will look at the current practices such as those focusing on punitive measures and ask ourselves what else is possible- what if we could try something else- what would that be. 
Examples of Innovation to Address systemic issues: 
1, In 2016 we piloted our As I Am program for young adults age 16-26 as a result of demand from graduates of our programming for young adult programming (most, but not all of whom completed high school). We shifted our funding priorities to support As I Am for the past 9 years to create an infrastructure for success and overcoming systemic barriers for young adult graduates of our youth programs. This has been more than half of our budget the past 4 years. We are proud of our success in pivoting to this approach and innovating in the field of young adult workforce development in the arts. For three years, the City of Chicago awarded workforce development innovation grants and we were awarded one of these grants each year from 2017-2019. We have supported As I am with broad base of government and foundation grants and contracts
2. KL’s As I Am and Performance Ensembles’ theatre and multi-disciplinary creative works disrupts who gets to author what is critical, what stories and history is exposed, who is centered, and what knowledge is beneficial. This creative expression leads to young adults wanting to more deeply explore systemic issues such as food insecurity,  their own footprints, and issues like the root causes to life expectancy gaps, infant mortality and incarceration rates. When young adults have opportunities to create original performance works that center their lives, they are willing to host community conversations, open mics, and encourage others to write poems and tell stories. That momentum propels them into building out full productions. That is what makes the data personal, urgent, and hard to ignore. Their investments in the process reaches back into the communities they come from. They return to share skill sets like screen-printing, or video editing. They unite to support critical campaigns like the Chicago bail support or to supply grocery stipends for families during a pandemic.
3. When KL’s Arts and Healing space hosts peer led facilitation it produces young adults who lead mutual aid projects like partner gardens when their peers are teaching them how to build community garden plots and steward indigenous medicines and traditional foods. Healing spaces build confidence and collective care for young adults via art-infused pop-ups, the creation of streetwear brands, and event spaces that support basic needs and offer young adults the economic agency to flourish. By circulating resources within the community, believing they are one another's remedy, they practice and  model community care and collective economics over nonprofit scarcity.
4. Curating opportunities like the poetry making playground and hosting brave spaces for young adults to commune and be creative like the  Kuumba lynx performance ensemble and the arts and healing center is how we engage young adults in real time critical  dialogue and application. This  transforms the role of young adults from “recipients of services” to creative change makers and policy shapers who are essentially co-designing solutions to many of their community challenges. Our communities lack spaces for young adults to safely gather and we fill this void.</t>
  </si>
  <si>
    <t>Financial health: Kuumba Lynx has a broad funding base of foundation grants, government funding from different sources, and earned income models including our new space in Uptown which will be our first ever attempt to charge for weekly classes and seasonal memberships. After 4 years of elevated government funding, primarily supporting paying 230 young adults to participate in our career readiness in the arts, wellness, and arts education fields, we carefully planned for the end of these temporary funding sources to ensure we engaged the same number of young adults in 2025 and beyond. Our budget is back in the range that it was for the 3 years prior to the additional COVID funding. We tap into funding sources targeting arts, wellness, youth development, career readiness, and low-income communities to ensure we are not dependent on one source or type of income. Please see our attached budget for details.
In terms of financial sustainability, we have focused over the past year on diversifying our funding sources. We chose not to renew a series of City of Chicago workforce development grants that totalled more than 1.2 millions dollars (approximately 1 million paid to young adults) because the grants, while deeply impactful for the young adults and teens we paid, did not pay the full cost to administer them and were proving to be a financial drain on our leadership, staff, and finances. Administering these grants were pulling us away from our core performance and arts education focus and were physically and emotionally exhausting. We began planning for this transition in July of 2024. In practice, this means are are applying for more performance development grants for staff and young adults, looking at funders such as the Wilhelm and Christopher Foundations that we would not have previously spent resources applying to (after several years of rejection we were award and Angell Fund grant), and, for the first time, applying for corporate funding like Exelon and Bank of America.
We are also rebuilding our Kuumba Lynx Performance Ensemble performance calendar to include more paid performances. This was a key source of revenue before the pandemic. The Poetry Making Playground generates income from school field trips and special events/rentals, and we are exploring ways to generate sustainable revenue from it.
In terms of long term organizational sustainability, we hire and promote from within as often as possible. Two-thirds of our arts facilitators were once Kuumba Lynx youth participants and our marketing director and accountant are all alumni who are being trained for organizational leadership.</t>
  </si>
  <si>
    <t>David and Reva Logan Foundation $70,000 (Gen Op)
Chicago’s Cultural $60,000 (Poetry Playground and As I Am)
Field Foundation $50,000 (Gen Op)
Anticipated: 
NBA Foundation: $100,000 (for As I AM)
Arts Midwest $35,000 (As I Am)
Albert Pick Foundation $20,000 (Violence Prevention/Mental Health)</t>
  </si>
  <si>
    <t>Current:
City of Chicago DFSS $54,000
National Endowment for the Arts (As I Am program) $45,000
After School Matters $45,600
Anticipated:
National Endowment for the Arts “Big Read” program: $35,000
Illinois Arts Council $45,000 (renewal)</t>
  </si>
  <si>
    <t>16 to 26</t>
  </si>
  <si>
    <t>90</t>
  </si>
  <si>
    <t>https://www.jotform.com/uploads/Sol_Flores_sflores/242752736237461/6253794415383593377/Kuumba%20Lynx%202025%20Budget%20June%20Update.pdf
https://www.jotform.com/uploads/Sol_Flores_sflores/242752736237461/6253794415383593377/Kuumba%20Lynx%202025%20Board%20of%20Directors.pdf
https://www.jotform.com/uploads/Sol_Flores_sflores/242752736237461/6253794415383593377/Kuumba%20Lynx%202023%20Revised%20Audit%2010-31-24.pdf
https://www.jotform.com/uploads/Sol_Flores_sflores/242752736237461/6253794415383593377/KUUMBA%20LYNX%202023%20Final%20TAX%20RETURN.pdf
https://www.jotform.com/uploads/Sol_Flores_sflores/242752736237461/6253794415383593377/Kuumba%20Lynx%20IRS%20501C3.pdf
https://www.jotform.com/uploads/Sol_Flores_sflores/242752736237461/6253794415383593377/Kuumba%20Lynx%20Leadership%20and%20Key%20Staff%202025.pdf</t>
  </si>
  <si>
    <t>75% Public
25% Private</t>
  </si>
  <si>
    <t>Garfield Park</t>
  </si>
  <si>
    <t>Apr 29, 2025</t>
  </si>
  <si>
    <t>kpearson@resurrectionproject.org</t>
  </si>
  <si>
    <t>The Resurrection Project</t>
  </si>
  <si>
    <t>363576073</t>
  </si>
  <si>
    <t>1818 S. Paulina St.</t>
  </si>
  <si>
    <t>60608</t>
  </si>
  <si>
    <t>resurrectionproject.org</t>
  </si>
  <si>
    <t>Kelly</t>
  </si>
  <si>
    <t>Pearson</t>
  </si>
  <si>
    <t>Director of Institutional Giving</t>
  </si>
  <si>
    <t>3127633485</t>
  </si>
  <si>
    <t>Mary</t>
  </si>
  <si>
    <t>Johnson</t>
  </si>
  <si>
    <t>Chief Development Officer</t>
  </si>
  <si>
    <t>mjohnson@resurrectionproject.org</t>
  </si>
  <si>
    <t>1990</t>
  </si>
  <si>
    <t>120</t>
  </si>
  <si>
    <t>131</t>
  </si>
  <si>
    <t>Among TRP staff:
- 70% are women and 30% are men
- 73% are Latino, 12% are white, 11% are Black, 2% are Asian, and 2% are multiracial
Among the TRP Board of Directors:
- 58% are men and 42% are women 
- 58% are Latino and 42% are white</t>
  </si>
  <si>
    <t>The mission of The Resurrection Project (TRP) is to build trusting relationships to educate and propel individuals, immigrants and families to achieve their social and economic aspirations, stable homes and equitable participation in their community. The vision of TRP is that people will have the increased capacity to reach their goals and improve their socio-economic status.</t>
  </si>
  <si>
    <t>TRP CD Programs</t>
  </si>
  <si>
    <t>For 35 years, The Resurrection Project (TRP) has led affordable housing, financial empowerment, family wellness, and immigrant justice initiatives on Chicago’s southwest side, supporting tens of thousands of individuals, immigrants, and families in achieving stable housing, economic mobility, and equitable participation in their communities.
Based in Southwest Chicago, TRP primarily serves low- and moderate-income Latino individuals and families. Last year, 87% of TRP clients were Latino. Many are mixed status immigrant families. Most TRP clients or their parents emigrated from Mexico. All TRP services are available in English and Spanish. More than 80% of Full Circle Homes program clients are Latino and 40% are immigrants, utilizing Individual Taxpayer Identification Numbers (ITINs) to purchase homes.
In 1991, TRP purchased its first property and began to employ three interdependent strategies—property management, real estate development, and financial services and education—to help residents gain greater financial security and build wealth. Since then, TRP has grown to create and preserve $929 million in community wealth by building affordable housing and by helping residents attain and maintain homeownership.
Through its community development programs, TRP addresses the supply and demand sides of neighborhood housing markets. TRP develops affordable housing for renters and homebuyers, preserving and increasing the stock of high-quality affordable housing on Chicago’s southwest side. TRP develops affordable rental housing to low-income renters earning up to 60% AMI ($71,940 for a family of four as of April 2025). Additionally, TRP develops single-family (1-4 unit) homes for low- to moderate-income buyers to purchase.
TRP builds the supply of educated homeowners to purchase these homes through Full Circle Homes, TRP’s comprehensive model for affordable homeownership. Services include:
Financial Education and Counseling: A HUD-approved housing counseling agency, TRP provides homebuyer education classes and one-on-one counseling for financial empowerment, home purchase, and housing stability.
TRP Realty: Through TRP's nonprofit Real Estate brokerage, licensed real estate agents connect ready buyers to affordable homeownership opportunities.
TRP Lending (CDFI): TRP’s Community Development Financial Institution offers affordable lending products supporting home buyers and homeowners, including Down Payment Assistance, Second Mortgages for Home Purchase, and Home Improvement Loans.</t>
  </si>
  <si>
    <t>TRP’s Director of Monitoring and Evaluation (M&amp;E) oversees evaluation activities for TRP programs in partnership with executive and program leaders. Since 2017, TRP has used customer relationship management (CRM) system Salesforce to collect and manage its data. Across TRP, departmental staff collect and manage data in Salesforce. Each programmatic department documents progress through written and oral reports shared at monthly program meetings with a cross-section of management and leadership staff. The M&amp;E Director compiles data as part of strategic plan dashboards, which are shared at quarterly Board of Directors meetings. Data are used to inform benchmarks and workplans are created annually with organizational leadership. TRP follows best practices for evaluating the organization's overall financial and operational health, and measures program benchmarks annually and toward long-term systemic change.</t>
  </si>
  <si>
    <t>Guacolda Reyes, Chief Real Estate Development Officer, initially joined TRP in 1997 and led TRP’s community and affordable housing development efforts for over 20 years. Guacolda oversaw development of the majority of TRP’s affordable housing rental portfolio, from TRP’s start with Casa Guerrero to Casa Heritage in 2016. From 2018 through 2020, Guacolda led the affordable housing development team at Bickerdike Redevelopment Corporation, where she managed the successful financial closing of more than 200 units of affordable housing in Humboldt Park and Logan Square. Guacolda returned to TRP as Chief Real Estate Development Officer in October 2020. In her role, Guacolda oversees financing, development, and construction management of TRP’s affordable housing and community facility projects. Guacolda has been a member of the Board of Directors of Chicago Rehab Network for over two decades. In 2011, Guacolda received the La Raza Mujeres Destacadas (“Outstanding Women”) Award. Since 2019, Guacolda has served as a commissioner on the Chicago Plan Commission. She holds a master’s degree from the University of Illinois at Chicago’s School of Urban Planning and Policy and a bachelor’s degree in Social Work from the Catholic University of Chile. Guacolda and her family are longtime Pilsen residents.
Kristen Komara, Vice President of Full Circle Homes, joined TRP in 2004. Today, she leads Full Circle Homes, TRP’s comprehensive model for homeownership and housing stability. Kristen spearheaded the creation of TRP Realty in 2014, which provides nonprofit real estate brokerage services to low- and moderate-income clients, and she is a co-founder of TRP Lending, a certified CDFI focused on increasing homeownership and access to affordable housing. Kristen has been an instructor with UnidosUS since 2009, where she teaches HUD-approved courses in pre-purchase and rental counseling, marketing, fundraising, and housing counseling program management. She holds a master’s degree in Social Service Administration from the University of Chicago and a bachelor’s degree in Psychology from the University of Notre Dame. Kristen resides in the Lincoln Square neighborhood of Chicago with her husband and three sons.
Lizette Carretero, Director of Financial Wellness, spearheads the implementation of financial programs and education to empower individuals and families to build wealth through homeownership. With over 15 years of expertise, Lizette excels in delivering programs with cultural competency, deconstructing systemic barriers, and fostering success in enhancing economic and social mobility. She also holds a position as a board member at Reclaiming Chicago NFP. A Chicago native, Lizette was born and raised in the Pilsen Community. She earned her Associate of Arts in Communications from Harold Washington Community College and is an alumna of the University of Chicago’s Leadership Academy.</t>
  </si>
  <si>
    <t>Since TRP’s founding, the organization has sought to bring together residents and work alongside them to improve the quality of life and increase economic opportunities in their communities. TRP’s success has been anchored by grassroots activism, community engagement, and civic leadership development. 
Soliciting community input and being transparent in decision-making are essential in TRP’s efforts to develop and preserve affordable housing in Southwest Chicago. TRP organizes Mi Hogar, a network of homeowners and residents that advocates for the development and preservation of affordable housing in Pilsen. TRP staff met with Pilsen homeowners engaged in Mi Hogar and solicited feedback from them that formed the foundation of the Stay in Place Forgivable Loan Program, the focus of this proposal. 
TRP Real Estate Development and community organizing staff collaborate to identify community stakeholders and plan and facilitate public meetings to gather feedback. TRP holds community presentations and public meetings and conducts outreach to stakeholders to gather feedback about proposed affordable housing developments. When feasible, TRP adapts its plans based on the input received. TRP made multiple changes to its most recent affordable housing development, Casa Durango, as a direct result of feedback at community meetings. Changes included façade colors and adding more three-bedroom units for families.
An engaged community is a foundational element of TRP’s Reclaiming Back of the Yards Initiative. At "Café and Conchas" gatherings, TRP solicited input from residents on efforts related to housing opportunities in the neighborhood. Residents shared their ideas for improving the quality and safety of their blocks, which informed TRP strategies and priorities.</t>
  </si>
  <si>
    <t>In 2021, TRP launched Reclaiming Back of the Yards, which is part of the larger Reclaiming Chicago initiative organized by United Power for Action and Justice. To rebuild neighborhoods and help families build wealth and equity through homeownership, Reclaiming Chicago seeks to build or rehab 2,000 homes on the south and west sides of Chicago. TRP is leading this work in Back of the Yards. Lawndale Christian Development Corporation, Precious Blood Ministry of the Reconciliation, Chicago Neighborhood Initiatives, Hope Center Foundation, and SWOP are leading Reclaiming efforts in other neighborhoods.
Partnership with United Power and other Reclaiming Partners enhance TRP’s impact in Back of the Yards. Through the collective power of the Reclaiming campaign, TRP has access to a $22 million revolving construction loan fund plus homebuyer subsidies that make homes affordable to working families. The City of Chicago committed 500 city-owned lots to Reclaiming, plus $5.3 million to cover site preparation costs and an expedited permit approval process to reduce construction costs. Of the 500 lots committed, 206 are in Back of the Yards with TRP named the developer. TRP can build and sell new single-family homes in Back of the Yards only because it has the funding and lots made possible by partnership with United Power.
Participation in multiple local and national networks support TRP’s efforts to advance and sustain equitable homeownership. TRP is an affiliate of UnidosUS, was recently named Midwest Affiliate of the Year, and was an awardee of the UnidosUS Premio Home initiative. TRP is a member of the National Association for Latino Community Asset Builders (NALCAB), whose affiliation with the Justice Climate Fund secured $940M from the EPA’s Greenhouse Gas Reduction Fund. TRP stands ready to apply to potential funding opportunities.
TRP is a member of several coalitions pushing for more equitable housing and lending practices, including Housing Action Illinois’ Housing Counseling Coalition, Latino Policy Forum’s Housing Acuerdo, National Community Reinvestment Coalition, and Opportunity Finance Network.</t>
  </si>
  <si>
    <t>Equity, inclusion, and representation are critical values for TRP. TRP's history is rooted in expanding opportunities for predominately low- and moderate-income Latino individuals and families living in Southwest Chicago. TRP’s approach is underpinned by its commitment to equity, inclusion, and representation as the organization actively works to reduce the racial wealth gap and create intergenerational sources of wealth for people of color and increase opportunities for low- and moderate-income families of color to build and maintain wealth.
TRP staff share the cultural background of the communities TRP serves. Nearly three-fourths (73%) of staff members are Latino; most are first- or second-generation immigrants. All frontline staff are bilingual in English and Spanish. Staff have lived experience that reflect and overlap with the experiences of TRP clients. Clients trust TRP because staff speak their language, understand their challenges, and provide tailored support that acknowledges the unique challenges of immigrant families. Immigration status is not a barrier to receiving TRP services. Rather, TRP programming is conducted with the needs of and challenges faced by immigrants at the forefront.
TRP prioritizes and fosters a diverse, equitable, and inclusive workplace through institutional policies and practices, which have been embraced across all levels of the organization. TRP’s diversity and inclusion statement is as follows: “TRP has a passion for diversity and inclusiveness that guides the way we work, do business, and carry out our mission. We believe in the competitive advantage that results from the energy and value each of us brings to the workplace. TRP is committed to creating an inclusive and diverse environment by learning from the best, building skills to succeed, and rewarding results.”
TRP’s current strategic plan includes a goal to commit to a culture of diversity and inclusiveness for board and staff. Objectives include executing a plan to strengthen board diversity and attracting, retaining, and developing staff talent. Progress will be measured by the racial and ethnic composition of TRP staff and board in Q3 2025.
As part of its strategic plan goals around staff retention and equity, inclusion, and representation, TRP leadership completed a pay equity analysis in 2023. As a result of its findings, TRP instituted pay increases for many frontline staff. Nearly all frontline staff are first- and second-generation Latino immigrants.</t>
  </si>
  <si>
    <t>Homeownership remains the primary driver of household wealth. Latino homeowners have 28 times the wealth of Latino renters according to the Hispanic Wealth Project. Homeownership remains out of reach for many households in TRP’s target geographies, who tend to be low-income Latino. The homeownership rate for Latino families in Chicago is 55% compared to 70% for white households. Mortgage financing is not accessible to many Latino families. TRP’s primarily Latino client population consistently lacks trust in the U.S. banking system. As a result, they lack a banking profile and credit history, which are major obstacles to securing a mortgage. Many TRP clients are ITIN holders, who have few mortgage products available to them. According to HMDA data, 22% of Chicago Latinos are rejected for conventional home loans, twice the rate of the general population. The most common reasons for denial among Chicago Latinos are debt-to-income ratio and credit history. According to the State of Hispanic Homeownership report, Spanish-speaking potential homebuyers often encounter challenges finding linguistically competent real estate and mortgage professionals.
TRP community development programs are intentionally designed to help lower-income Latino households overcome common barriers to financial and housing stability. Affordable housing is the foundation of financial stability. By developing affordable housing, TRP helps low-income people live in stable environments within their financial means. By increasing access to affordable housing, TRP provides a solid foundation for individuals and families, making it easier for them to climb the economic ladder and build generational wealth.
To help residents build credit, TRP offers a credit-building tool called Lending Circles℠ in partnership with the San Francisco-based Mission Asset Fund (MAF). The concept behind Lending Circles℠ is a Latino cultural tradition called a “tanda” where families come together to lend and borrow money. However, the informal process does not improve credit scores. The MAF model remedies this by formalizing its zero-interest community micro-loans. Lending Circles℠ is an accessible credit-building tool that helps families avoid high interest/high risk lending products for essential items and services.
TRP consistently finds three elements crucial to increasing affordable homeownership in Southwest Chicago:
1.	Affordable mortgage financing
2.	An educated pipeline of potential buyers
3.	Affordable high-quality inventory of homes
TRP’s comprehensive model for homeownership is rooted in these elements, providing:
1.	CDFI TRP Lending, which provides affordable mortgage financing 
2.	Financial Wellness education and community outreach, which grow the pipeline of educated potential borrowers
3.	Real Estate Development, which increases the supply of affordable inventory available for homeownership 
4.	TRP Realty, which connects buyers to inventory
In the early 1990s, through the “New Homes for Chicago” program, TRP built and sold 100 homes to new homebuyers in Southwest Chicago for about $100,000 each. In 1993, TRP began offering homebuyer education classes and counseling to prepare the buyers of these new homes. A 2021 study found that three-quarters of those homes are still owned by the original buyers or families of the buyers and had appreciated to an average value of $350,000. These homes have significantly improved economic outcomes for these families.</t>
  </si>
  <si>
    <t>TRP community development programs are funded by 60% public, 22% earned, and 18% private sources. Nearly all public funding is from state, county, and city sources. TRP receives very little federal funding. Programs generate earned income to support its programs through realty, lending, and developer fees. TRP’s Director of Institutional Giving partners closely with TRP’s Chief Real Estate Development Officer and VP of Full Circle Homes to secure philanthropic funding and capital to meet program goals. Over twenty corporations and foundations provide funding support every year. 
As a member of United Power for Action and Justice, TRP is able to tap into resources of the Reclaiming Chicago initiative, including a $22 million revolving construction fund. Dollars are recycled and repaid upon sale of homes. The State of Illinois has committed $10 million in homebuyer subsidies to ensure homes will be affordable to working families. The City of Chicago has provided $5.3 million to cover site preparation costs and recently committed 500 city-owned lots. As a result, TRP’s average acquisition cost is under $1,000 per lot.</t>
  </si>
  <si>
    <t>Thomas J. Hurvis - $2,000,000
Abundant Futures Fund - $450,000
JPMorgan Chase - $375,000</t>
  </si>
  <si>
    <t>Illinois Department of Human Services Access to Justice
Illinois Department of Human Services Immigrant Legal Support Program
City of Chicago Legal Protection Fund</t>
  </si>
  <si>
    <t>40-59 years old</t>
  </si>
  <si>
    <t>70%</t>
  </si>
  <si>
    <t>https://www.jotform.com/uploads/Sol_Flores_sflores/242752736237461/6217136490816353583/TRP%202025%20Operating%20Budget.pdf
https://www.jotform.com/uploads/Sol_Flores_sflores/242752736237461/6217136490816353583/FY25%20TRP%20Community%20Development%20Program%20Budget%202025.pdf
https://www.jotform.com/uploads/Sol_Flores_sflores/242752736237461/6217136490816353583/TRP%20501c3%20IRS%20Determination.pdf
https://www.jotform.com/uploads/Sol_Flores_sflores/242752736237461/6217136490816353583/2025%20TRP%20Board%20of%20Directors.pdf
https://www.jotform.com/uploads/Sol_Flores_sflores/242752736237461/6217136490816353583/FY2023%20TRP%20and%20Affiliates%20Audited%20Financial%20Statements.pdf
https://www.jotform.com/uploads/Sol_Flores_sflores/242752736237461/6217136490816353583/TRP%202023%20990%20Public%20Disclosure%20Copy.pdf
https://www.jotform.com/uploads/Sol_Flores_sflores/242752736237461/6217136490816353583/TRP%20Key%20Staff%20Bios.pdf</t>
  </si>
  <si>
    <t>https://www.jotform.com/uploads/Sol_Flores_sflores/242752736237461/6217136490816353583/TRP%20Community%20Development%202025.pdf
https://www.jotform.com/uploads/Sol_Flores_sflores/242752736237461/6217136490816353583/TRP%202024%20Impact%20Highlights.pdf
https://www.jotform.com/uploads/Sol_Flores_sflores/242752736237461/6217136490816353583/Reclaiming%20BOTY%20through%2012.31.24.pdf</t>
  </si>
  <si>
    <t>Public – 69%
Private – 14%
Earned – 17%</t>
  </si>
  <si>
    <t>Pilsen</t>
  </si>
  <si>
    <t>Apr 28, 2025</t>
  </si>
  <si>
    <t>andrewjsparks@latinospro.org</t>
  </si>
  <si>
    <t>Latinos Progresando</t>
  </si>
  <si>
    <t>36-4355072</t>
  </si>
  <si>
    <t>2724 W Cermak Rd</t>
  </si>
  <si>
    <t>n/a</t>
  </si>
  <si>
    <t>www.latinospro.org</t>
  </si>
  <si>
    <t>Andrew</t>
  </si>
  <si>
    <t>Sparks</t>
  </si>
  <si>
    <t>(773) 232-9366</t>
  </si>
  <si>
    <t>Adrienne</t>
  </si>
  <si>
    <t>Lange</t>
  </si>
  <si>
    <t>Chief Advancement Officer</t>
  </si>
  <si>
    <t>adrienne@latinospro.org</t>
  </si>
  <si>
    <t>(773) 232-9364</t>
  </si>
  <si>
    <t>25</t>
  </si>
  <si>
    <t>65</t>
  </si>
  <si>
    <t>Total: 16
--
Female: 7 
Male: 9
--
Latino/a: 13
White: 2
Asian/South Asian: 1</t>
  </si>
  <si>
    <t>Mission: Elevate the well-being of the Mexican community
Vision: Expanding what’s possible</t>
  </si>
  <si>
    <t>Developing La Cermak</t>
  </si>
  <si>
    <t>Latinos Progresando’s (LP) mission is to elevate the well-being of the Mexican community. LP first opened its doors in 1998 to provide accessible, professional immigration legal services to Chicago’s immigrant community. Since then, LP has broadened its reach while also deepening its roots, offering a full spectrum of services: corridor and community development, small business support services, resident leadership programs, coalition building, and Mexican cultural programming. Across the range of LP’s work, the organization intentionally engages diverse audiences, namely Marshall Square residents, the broader immigrant community, local businesses, local schools, nonprofit organizations, and emerging/established Mexican leaders. 
LP’s place-based work, including our community development work, focuses on the eastern subset of Chicago’s South Lawndale community, historically known as Marshall Square. Home to a thriving Mexican immigrant community, Marshall Square has a rich cultural history that is anchored by several community assets: community-minded schools, industrious small businesses, a collaborative nonprofit community, and a local health district. Still, as documented in the Marshall Square Resource Network Impact Report: A Blueprint for Neighborhood Investment, Marshall Square has faced a history of disinvestment that outpaces other Chicago communities, along with systemic exclusions due to language barriers, immigration status, and education attainment gaps. While one in five Chicagoans identifies as Mexican, there is a remarkable lack of understanding of and tailored resources to address the Mexican community’s unique needs. This reality is evident in Mexican business ownership, where the overall percentage is far below the Mexican-origin share of the population (see Fuerza Mexicana, LP’s co-commissioned report on the state of Mexicans in Chicagoland).
LP’s work is designed to maximize community assets, uproot these and other inequities, and embody community voice throughout. LP believes that equitable community development will be achieved through community-driven approaches that leverage the collective strengths of Marshall Square residents. Below is a sampling of LP’s local efforts.
Community Development &amp; Small Business Support - LP focuses on corridor development, placemaking, and small business support on Chicago's Cermak Commercial Corridor, a one-mile stretch from Kedzie to Western known locally as ‘La Cermak’. There are 130 locally-owned businesses directly on Cermak, and 359 businesses within a half mile radius. Building on a multi-year walkability study, a resident-led air quality monitoring program, and extensive level setting and relationship building with business owners, LP has facilitated $1.3 million of direct investment to the corridor, green infrastructure improvements, a Shop Local campaign, and ongoing direct support services to local business owners. 
The Marshall Square Resource Network - LP is the convening agency of the Marshall Square Resource Network (MSRN), a place-based collaborative of more than 60 community organizations, schools, small businesses, and community residents. MSRN advances community-identified solutions in the areas of health, education, peace, and community response, as well as broader community development initiatives and Network infrastructure.
Resident Leadership through Social Emotional Learning - In 2015, Latinos Progresando was selected by CASEL to pilot its newly developed Social Emotional Learning (SEL) curriculum in Marshall Square schools. To date, 700 neighborhood parents have been trained in SEL basics by their peers. LP convened a cohort of parent leaders to serve as instructors and ambassadors. LP convenes the resident leadership cohort on an ongoing basis and consults with resident leaders on neighborhood issues, programming decisions, and community planning efforts. 
While the majority of LP’s work is place-based with a hyper-local focus on Marshall Square, several efforts extend well beyond the neighborhood. Below are some recent examples.
Excellerator Fund - The Excellerator Fund is a joint venture developed by Greater Auburn Gresham Development Corporation and Latinos Progresando to reimagine investment in Chicago’s neighborhoods. The Excellerator Fund’s community-driven grantmaking model centers Black and Mexican voices in directing unrestricted funding to Black and Mexican-led organizations, in Black and Mexican communities. Beyond grantmaking, the fund brings leaders together to forge bonds, share resources and work together for a better Chicago.  Now in its fourth year, the fund has mobilized more than $4.4 million dollars to 82 Black and Mexican-led organizations, the majority of which have budgets less than $500,000.
One Lawndale - Co-Founded by Latinos Progresando and North Lawndale Community Coordinating Council, One Lawndale is a cross-community, cross-cultural collaborative that seeks to build bridges between the historically segregated communities of North and South Lawndale. The collaborative has birthed the One Lawndale Summer Event Series and has led to the conceptualization of the Lawndale Community Campus, a collection of several capital projects within walking distance of each other which include Sinai Chicago’s One Lawndale Community Care Center and the forthcoming One Lawndale Children’s Discovery Center.</t>
  </si>
  <si>
    <t>150000</t>
  </si>
  <si>
    <t>LP’s work is successful when clients, community residents, business owners, and organizational partners are equipped to realize dreams and to thrive. LP continually monitors its impact through quantitative and qualitative measures.
Quantitatively, LP assesses its progress through a variety of measures, including:
# new amenities on the corridor
# of small business owners adopting La Cermak initiatives
# of small business owners supporting local advocacy efforts
# of infrastructure improvements delivered
# of workshops provided and total attendance
# of TA consultants with MOUs
# of TA matches
# social media mentions/earned media hits
$ of increased spending
# increase of small businesses owning/taking steps to purchase their building
LP collects data to measure both process and outcomes. Each measure connects to one of the four program areas, and ultimately connects to the program and organizational goals of creating opportunity rich environments. Programs capture data on a defined schedule (e.g., monthly, quarterly), based on the program operations as well as the availability and accessibility of data. Program data is reviewed by the internal program team as well as with partners to assess data validity, identify key issues and opportunities, and provide insights into trends. 
Qualitatively, LP adopts an inquisitive, listening posture, engaging stakeholders in regular conversations, surveys, roundtable discussions, informal interviews, and anecdotal data to assess shifts in residents’ perceptions of place, access to economic information and resources, and engagement in community life. Learning is documented and communicated to LP’s executive team, board of directors and community partners. LP uses community-level data to contextualize project findings, and to holistically investigate project impacts. Ultimately, the project will be deemed successful by the ability of investments to secure an equitable path for community residents and businesses. 
LP has conducted several qualitative and quantitative studies to set baselines and design interventions around expressed business needs. For example, in 2020 LP worked with masters students from Northwestern University to develop a baseline scan of the corridor related to demographics, business and economic activity, and community safety. The report measured items like rates of building ownership vs renting among business owners, number of empty storefronts/vacant lots, and trends related to crime around the corridor. This baseline report helped form the structure of LP’s ongoing community development work, which includes regular trash pickup/sidewalk cleaning through Cleanslate, “Shop Local Marshall Square” branding campaign, and connection to workshops, resources, and one on one support. 
In 2024, LP conducted a renewed qualitative survey and report of business owners on Cermak Avenue to complement regular listening and feedback practices. LP learned of shared concerns related to community safety, increased foot traffic, and a desire for support related to succession planning and accessing capital to buy their building and/or improve their business.
For another example of how LP digests and disseminates impact data, please see the Marshall Square Resource Network Impact Report: A Blueprint for Neighborhood Investment (attached below).</t>
  </si>
  <si>
    <t>Latinos Progresando’s Community Development work is driven by a dedicated staff team and supported by key organization leaders. The following team members are instrumental to LP’s Community Development efforts.
--
Luis Gutierrez, Founder and CEO - Luis is the son of Mexican immigrants, born and raised in Chicago’s Little Village. In addition to founding Latinos Progresando, Luis is an innovator in the nonprofit space, building diverse coalitions across communities and sectors, including the Marshall Square Resource Network, the Excellerator Fund, and the One Lawndale movement. 
Luis leverages decades of community leadership experience as a member of the Board of Commissioners for the Chicago Housing Authority, and as a steering committee member of We Rise Together. Luis also serves as a board member of several Chicago-based organizations, including the ACLU of Illinois, Lincoln Park Zoo, The Nature Conservancy, Lookingglass Theatre Company, and the Millenium Park Foundation. 
Luis primarily supports the community development work through vision casting, strategy development, and networking.
--
Nubia Willman, Chief Programs Officer- Nubia joined the Latinos Progresando team as its first-ever Chief Programs Officer in December 2023. Prior to this role, Nubia was Deputy Chief of Staff for Mayor Lori E. Lightfoot. There, Nubia led city-wide community engagement and immigration policy for Chicago, including drafting a resettlement plan to receive the first phase of new arrivals. 
Nubia is a licensed attorney. Previously, she represented immigrant survivors of gender-based violence and precarious workers at Legal Aid Chicago. She earned her JD from Loyola University Chicago School of Law.
Nubia’s career includes ten years as a digital content creator, writer, and thought leader discussing professional development, gender equity, and immigration. She is the founder Latinas Uprising, an online community for the modern Latina lawyer, reaching over 27,000 young professionals committed to social justice and increasing diversity within the legal profession.
Nubia provides strategic oversight for all of Latinos Progresando’s programming, including the Community Development portfolio. 
--
Marcial Diaz, Community Programs Director - Marcial joined Latinos Progresando in the summer of 2022 after 26 years in the for-profit sector. As Community Programs Director, Marcial leads LP’s community-based efforts which include outreach, coalition building through the Marshall Square Resource Network (MSRN), parent leadership programming, green space programming, and basic needs/community response. Marcial oversees day-to-day Community Development activities and supports the integration of the Community Development work within the broader collaborative context of the rest of LP’s community-based work.
--
Catalino Arroyo, Business Coordinator - Catalino (Cat) joined Latinos Progresando in 2023 as the organization’s Business Coordinator. Prior to joining LP, Cat spent more than 20 years in the restaurant industry, first as a General Manager and later as a Multi-Unit Manager overseeing several districts and 32 total restaurants. Cat is passionate about LP’s local business development work because he enjoys helping and guiding others and leveraging the knowledge and experience he has gained over the years. Cat manages relationships with local business, coordinates local business services, facilitates workshops, and implements corridor programs like Cleanslate and graffiti removal.
--
Gerardo Garcia, Consultant, The Urbanism Bureau - Gerardo supports the LP team as a consultant, providing strategy development and tactical planning, enhancing the technical assistance program, and leading key community development initiatives like capital projects and an emerging storefront program.
Gerardo is a licensed Architect and Urban Designer focused on driving equitable development in communities that need it most. As a first-generation Mexican American and resident of Little Village, Gerardo’s lived and professional experience have allowed him to spearhead innovative planning and urban design efforts across Chicago and the nation. 
In his prior leadership roles in city government, he was responsible for ensuring that Chicago’s economic development goals were supported by thoughtfully designed buildings that enhance neighborhoods where it matters most: on the streets and sidewalks where people live and work. Gerardo’s work is characterized by community-driven engagement and the use of design excellence as an economic development tool.</t>
  </si>
  <si>
    <t>Latinos Progresando engages residents, business owners, and partner organizations in visioning, shaping, and creating an equitable community in ways that are powerful affirmations of identity, ownership and agency. Community engagement is central to every facet of LP’s work, and occurs through relationships built through “kitchen table” conversations, community interactions, hiring practices and convened groups. 
LP’s leadership in the Marshall Square Resource Network (MSRN) demonstrates this approach. MSRN hosts quarterly meetings, open to the public, with live English-Spanish interpretation. Community members, including local business owners, participate in MSRN’s issue area committees, shape priorities, and raise issues to elected officials. LP has applied this collaborative approach to its broader work with local businesses, using a convening structure that supports business workshops, corridor update meetings with elected officials, and networking. For example, this collaborative structure led to the creation of a corridor WhatsApp group that facilitates real-time communication between business owners, LP, and key stakeholders like the 010th District of Chicago Police Department. Engagement with business owners concerned with corridor safety also led to LP implementing a 311 graffiti removal process that has led to the removal of more than 100 tags, and has facilitated corridor walks with 010 District Police. 
Throughout the community, residents and business owners are driving efforts related to walkability, green space development, social emotional learning in schools, air quality monitoring; several of those have found full-time employment at LP and partner agencies as skills have developed and interests formed. Beyond the material improvements resulting from capital projects and programs, the value of activating neighborhood residents to be engaged in building the future of their community is incalculable. 
LP’s ability to redirect resources to businesses and to target corridor improvements in ways that resonate with business owners and residents is made possible because of the groundwork laid through long term presence and relationship building. Through regular touchpoints and responsive programming, LP has built a foundation of trust with the Cermak business community that can lead to increasingly bold initiatives with greater impact.</t>
  </si>
  <si>
    <t>Latinos Progresando’s economic and community development work is rooted in deep community collaborations and draws from a broad base of funding and in kind support. LP is a convener at its core, and that DNA drives LP’s approach.
LP’s ‘La Cermak’ vision initially sprouted from the collaborative work of the aforementioned Marshall Square Resource Network (MSRN). Each year, the coalition conceives and executes a collaborative community plan focusing on the areas of health, education, peace, and community response, along with broader community development initiatives and capacity building for network partners. LP has published the Marshall Square Resource Network Impact Report: A Blueprint for Neighborhood Investment to highlight the coalition’s joint efforts and to cast the network’s collective vision for the future.
Within the collaborative context of the Marshall Square Resource Network, LP launched its dedicated corridor development work in 2017 with a resident-led walkability study. More than 100 community stakeholders worked together to map conditions on the Cermak commercial corridor related to ease of use, sense of safety, availability of green assets, and sense of place/community identity. LP and its partners have since built on these foundational efforts to complete several community-led corridor projects, including a “Complete Streets” planning process, a multi-year air quality monitoring initiative, green infrastructure improvements, and a local business development program with dedicated staff. 
LP’s DNA as collaborator has also generated broader citywide partnerships that have directly benefited the organization’s local community development work. During the Covid-19 pandemic, LP’s leadership was called to the Mayor’s Racial Equity Rapid Response Team which connected LP to key city resources to coordinate a comprehensive response and recovery effort. LP is a founding member of the One Lawndale movement alongside the North Lawndale Community Coordinating Council (NLCCC), bringing together two historically segregated communities to offer mutual support, plan shared events, and develop a joint community development vision. Today, One Lawndale is in the process of realizing the One Lawndale Campus, a constellation of shared community assets, all within walking distance of each other, that is expanding access to wealth and well-being across both communities.
LP is a participant in, and contributor to, several learning cohorts convened by funders such as We Rise Together, an initiative of the Chicago Community Trust, and United Way of Metropolitan Chicago’s Neighborhood Networks. LP has developed strong working relationships with three Aldermanic offices (Wards 22, 24, and 25), the 010 District of the Chicago Police Department, the City of Chicago Streets &amp; Sanitation Department, among other City agencies. These relationships have directly impacted LP’s commercial corridor work by connecting business owners to 010 District officers, increasing street cleaning on the corridor, holding meetings with aldermen and business owners, and facilitating connections between business owners and several city agencies. 
LP’s existing partnership networks and funder relationships, along with the established staff team and connection with business community, form the collaborative context in which LP pursues its community development vision.</t>
  </si>
  <si>
    <t>LP’s board and staff reflect the racial/ethnic, cultural, linguistic, and lived experiences of the communities LP serves. LP’s CEO, as well as one hundred percent of LP’s board executive committee, including the board president, are Latino/a (more specifically Mexican), as are 80percent of the full board of directors. 
LP prioritizes hiring staff from the community, creating opportunities for economic security. As LP’s impact has grown, LP has developed other leaders from within the organization, with an emphasis on reflecting the diverse perspectives found within LP’s geographic and cultural community. LP continues to prioritize - and expand - opportunities to attract and elevate women, people of color, members of the LGBTQ+ community, and clients and community residents.  LP has also created the mechanisms to do so, by enacting policies and practices that support the inclusion of those with lived experiences and the varied perspectives of the community. 
Representation is a prerequisite for all LP programming. LP highlights diversity in race, gender, sexual orientation and lived experience in its annual MEX talks speaker series, which showcases Mexican and Mexican American leaders reflecting on identity and community, and serves as a strong platform for including diverse voices in community-wide conversation and celebration.</t>
  </si>
  <si>
    <t>LP’s community development work draws from a broad base of funding. Long-standing funding partners, including United Way of Metropolitan Chicago (UWMC), the Chicago Community Trust (CCT), and Bank of America, as well as newer funders like the Local Initiatives Support Corporation (LISC), buoy our work.The organization regularly renews grants from existing funders and is proud to maintain a pristine audit track record, underscored by our most recent audit that was completed ahead of schedule with no findings.
LP’s recent investments in organizational structure and the realization of the Latinos Progresando Community Center have contributed to the sustainability of all of our programs. The introduction of a new executive-level program role has brought additional knowledge, networks, and strategic capacity to all of our direct programs, including the community development work. The building out of the executive team has also allowed other executive level team members to be more strategic and specialized in their focus, which has benefited the finance, operations and fundraising functions. Further, in 2024 LP unveiled a new strategic plan which updated LP’s programmatic focus and operational needs. In service of the strategic plan, LP is actively refreshing tactical plans for key areas like fundraising, grants management, finance, and operations. 
LP’s existing partnership networks and funder relationships, along with the established staff team and connection with business community, form the collaborative context in which the community development has taken shape. These connections will be both an asset to LP’s work during the grant period and will contribute to LP’s ability to sustain progress beyond the grant period.</t>
  </si>
  <si>
    <t>United Way of Metropolitan Chicago, $563,000 (across two grants)
Builders Initiative, $400,000 (across two grants)
Macarthur Foundation, $275,000 (year one of five-year, $1.1M grant)</t>
  </si>
  <si>
    <t>We do not currently have any public funding sources. We have a pending application for pass through funding from HUD Section 4.</t>
  </si>
  <si>
    <t>Less than 1%</t>
  </si>
  <si>
    <t>Our programs reach people of all ages, but the largest age groups are 25-39 and 40-59.</t>
  </si>
  <si>
    <t>96</t>
  </si>
  <si>
    <t>https://www.jotform.com/uploads/Sol_Flores_sflores/242752736237461/6216867586447979817/LatinosPro_FY25%20Organization%20Budget.pdf
https://www.jotform.com/uploads/Sol_Flores_sflores/242752736237461/6216867586447979817/LatinosPro_LaCermak%20Program%20Budget.pdf
https://www.jotform.com/uploads/Sol_Flores_sflores/242752736237461/6216867586447979817/LatinosPro_501c3%20letter.pdf
https://www.jotform.com/uploads/Sol_Flores_sflores/242752736237461/6216867586447979817/LatinosPro_Board%20of%20Directors%202025.pdf
https://www.jotform.com/uploads/Sol_Flores_sflores/242752736237461/6216867586447979817/LatinosPro_FY24%20Audit.pdf
https://www.jotform.com/uploads/Sol_Flores_sflores/242752736237461/6216867586447979817/LatinosPro_Key%20Staff%20Bios_2025.pdf
https://www.jotform.com/uploads/Sol_Flores_sflores/242752736237461/6216867586447979817/LatinosPro_FY24%20990.pdf</t>
  </si>
  <si>
    <t>https://www.jotform.com/uploads/Sol_Flores_sflores/242752736237461/6216867586447979817/MSRN%20Impact%20Report%20_%20Plan.pdf
https://www.jotform.com/uploads/Sol_Flores_sflores/242752736237461/6216867586447979817/LatinosPro_Strategic%20Plan%20Draft.pdf
https://www.jotform.com/uploads/Sol_Flores_sflores/242752736237461/6216867586447979817/Fuerza%20Mexicana.pdf</t>
  </si>
  <si>
    <t>LP’s budget projections for the current fiscal year included around 8% from public revenue sources, but because an originally-projected contract was not funded, the actual amount of public funding in the budget is less than one percent. Around 84% of LP’s funding comes from diverse private sources: foundation and corporate grants, special events and individual giving. An additional 8% of LP’s revenue comes from earned sources.</t>
  </si>
  <si>
    <t>Marshall Square</t>
  </si>
  <si>
    <t>gbrown@eriehouse.org</t>
  </si>
  <si>
    <t>Erie Neighborhood House</t>
  </si>
  <si>
    <t>34-3063253</t>
  </si>
  <si>
    <t>1701 W Superior St</t>
  </si>
  <si>
    <t>60622</t>
  </si>
  <si>
    <t>https://eriehouse.org/</t>
  </si>
  <si>
    <t>Tom</t>
  </si>
  <si>
    <t>Arvetis</t>
  </si>
  <si>
    <t>Manager of Institutional Giving</t>
  </si>
  <si>
    <t>tarvetis@eriehouse.org</t>
  </si>
  <si>
    <t>312-563-5808</t>
  </si>
  <si>
    <t>Jessica</t>
  </si>
  <si>
    <t>Senior Director of Development and Communications</t>
  </si>
  <si>
    <t>jerodriguez@eriehouse.org</t>
  </si>
  <si>
    <t>312-432-2236</t>
  </si>
  <si>
    <t>1870</t>
  </si>
  <si>
    <t>144</t>
  </si>
  <si>
    <t>18</t>
  </si>
  <si>
    <t>509</t>
  </si>
  <si>
    <t>Please see ENH Board and Staff Demographics spreadsheet in attachments.</t>
  </si>
  <si>
    <t>Erie Neighborhood House’s mission is to empower our community—Latinx immigrants alongside individuals and families of all backgrounds—through education, access to critical services and advocacy, working together to create a just and inclusive society. Our vision is a home with no borders, impacting lives to create powerful communities.</t>
  </si>
  <si>
    <t>Jul 1, 2024</t>
  </si>
  <si>
    <t>Jun 30, 2025</t>
  </si>
  <si>
    <t>GenOps Support</t>
  </si>
  <si>
    <t>The primary focus of our organization is to support immigrant and low-income families in Chicago and empower them to build powerful communities. When we were first opened our doors in 1870—when Chicago was only 33 years old—we served the Dutch immigrants making their homes in the city. Chicago’s populations have shifted with the times, and we have evolved alongside it to stay true to our mission. Today, we primarily serve Latinx families and individuals from Chicago’s West and Southwest Sides, offering a spectrum of programs and services that address the complex needs of our community. We categorize our programs into five service areas: Children &amp; Youth, Adult Education &amp; Training, Community Resources &amp; Empowerment, Legal Services, and Mental Health &amp; Community Wellness.  Funding from Knight Impact Partners will support Erie Neighborhood House’s wraparound programming model, particularly as it relates to families, health, human services, and workforce development.
By ensuring that children and youth in our programs are cared for and receiving developmentally appropriate instruction and guidance, Erie House provides parents a valuable and much-needed resource in the community for their families. Early Childhood Education (ECE) for children ages 0 to 5, and Expanded Learning Programs (ELP) for children and youth ages 6 to 18. ECE provides on-site holistic education and development programming for pre-school aged children (ages 0-5); home visiting for expectant mothers and children ages birth to 3 years old; and mental health services for children up to age 5 and their families. Expanded Learning Programs (ELP) offers  three year-round, age-appropriate programming options for children and youth: (1) School Age Program, which offers an array of enrichment services for youth ages 5-12 to include elementary literacy, academic support mentoring, social-emotional health support, health education, physical activity, and field trips; (2) Youth Options Unlimited, which improves academic attainment and life skills and offers safe, recreational alternatives for at-risk youth ages 12-18; and (3) READS, which is a tutoring program designed to improve 1st-3rd graders’ literacy skills for children referred to Erie House by our partner schools in Little Village neighborhood of South Lawndale.
Our Children &amp; Youth services also provide essential childcare for parents who are attempting to further their education or pursue employment opportunities that can lead to family-sustaining wages. Our Adult Education and Training services provide foundational academic and professional programs that prepare adults for long-term success. Programming spans English as a Second Language instruction, Adult Basic Education, community literacy and civics classes, one-on-one and small group tutoring, and basic, intermediate, and advanced technology education.  Participation in these programs leads to stronger reading and comprehension skills, increased facility with English as a Second Language, completion of industry-specific training and certification courses, and in some instances American citizenship.
The areas of Community Resources &amp; Empowerment and Mental Health &amp; Community Wellness provide clients with case management and accompaniment to improve people’s success at accessing public benefits, basic healthcare, and housing. We host workshops on health and wellness, nutrition, financial literacy, tenant rights, and transitioning from tenancy to home ownership. Our bilingual behavioral health therapy services help children, teens, and adults to meet their overall wellness goals. Programming encourages families to be mindful, eat well, and stay active. Community health workers also promote healthcare utilization by providing case management support and accompanying clients throughout their healthcare journey.</t>
  </si>
  <si>
    <t>Erie Neighborhood House utilizes four strategic pillars to create organization-wide goals and derive metrics of success. All activities are inherently measurable and involve either qualitative metrics, quantitative metrics, or both.
Our first strategic pillar is integrate and enhance data-driven practices. We aim to track participant outcomes more clearly and consistently, review and strengthen program approaches, and apply an evidence-based lens to the whole organization.
Measures of success:
•	Programs will improve in quality, as measured by enrollment (within 10% of capacity) and by increasing the percentage of participants meeting outcomes.
•	At least 80% of participants will report significant improvement in Quality of Life per annual survey.
•	95% of expected Salesforce entries will be complete and accurate each month.
Our second pillar is to broaden impact with children and youth. We aim to ramp up strategies to boost child and youth recruitment; organize our systems and structures to better serve children, youth and families; strengthen staff capacity to engage children and youth; and streamline life skills and academic data collection and evaluation.
Measures of success:
•	80% of children and youth across all expanded learning programs will demonstrate growth in life skills.
•	The number of youth we serve at Jose De Diego Community Academy will grow by 2x by 2025-26 and 3x by 2026-27.
Our third strategic pillar is to empower and develop staff. We aim to enhance training and development opportunities to support employee growth and retention; create an inclusive, supportive, and empowering work environment; streamline and enhance the onboarding process to ensure new hires feel welcomed, informed, and prepared to succeed in their roles; and make the most of our feedback channels.
Measures of success:
•	90% of staff will report being likely to recommend Erie House as a place of employment to friends and family.
•	Erie House will maintain a vacancy rate below 15%.
Our fourth and final strategic pillar is to strengthen organizational infrastructure. We aim to optimize team structures to maximize impact and streamline operations; assess and optimize our space; and organize ourselves to increase private revenue.
Measures of success:
•	Staff will report higher satisfaction and fewer complaints related to infrastructure/administrative support in annual staff survey.
•	Private revenue will increase 50% by 2027.</t>
  </si>
  <si>
    <t>Cristina De La Rosa, Executive Director: Since April 2022, Cristina De La Rosa has been the Executive Director of Erie Neighborhood House, a nonprofit social services agency serving over 13,000 low-income, primarily Latinx families and individuals through education and empowerment in Chicago. Cristina began her tenure with Erie House in 2011 as a Workforce Development Program Coordinator, bringing awareness to groups across the city about affordable housing programs and services. As Erie House’s Senior Director of Programs, Cristina aimed to build strategic partnerships and identify new funding sources and opportunities to deliver program excellence. Prior to joining Erie House, she worked with dislocated and unemployed individuals at the Chicago Federation of Labor. As a daughter of Mexican immigrants, leading in this capacity at Erie House is an honor and the result of her dedication to connecting historically marginalized communities with access to resources for over 18 years. Currently, Cristina serves on the UCAN Program Advisory Committee and is a board member of Revolution Workshop and Chicago Women's History Center. Education BA: Public Policy, DePaul University
Jessica Rodriguez, Senior Director of Development &amp; Communications: Jessica Rodriguez is a committed servant leader who believes serving the needs of others and building trusting relationships lead to healthy communities. She is passionate about addressing the complexities of homelessness, immigration advocacy and policy reform, cultivating community accountability, and ensuring future leaders have accessible mentorship. Having joined the Erie House family in August 2021, Jessica is the Sr. Director of Development &amp; Communications, where she oversees all fundraising and marketing activities. She brings over 16 years of nonprofit fundraising, marketing &amp; communications, volunteer management, and grant writing experience. Prior to joining Erie, Jessica was the Director of Development at La Casa Norte, a local community-based social services organization in Chicago. Education: Business Administration, DePaul University
Leslie Okamura, Senior Director of Finance: Leslie Okamura directs the Erie House Finance Department and manages our annual budget comprised of private and public revenue streams. She came to Erie House in 2013, having worked previously at Casa Central Social Services and in the world of corporate finance. Education: BS: Accountancy, Northeastern Illinois University. Registered Certified Public Accountant (Illinois)
LaTanya Pumphrey, Senior Director of Operations: Born and raised on the Southside of Chicago, LaTanya has been working in the nonprofit sector for over 20 years. She has a BA in Human Services, an MS in Nonprofit Management, and is finishing a Master of Accounting and Financial Management. Over the course of her 20-year career, LaTanya has started a grassroots tutoring program, worked in various primary and secondary positions, and has focused the last six years of her career on nonprofit operations. Her passion has been working with underserved populations by providing resources and strategies through organizational goals. Education: Bachelor of Arts in Human Services, National Louis University; Masters of Science in Non-Profit Management, Spertus Institute for Jewish Learning and Leadership; Masters of Accounting and Financial Management, Keller Graduate School of Management of DeVry University.
ENH’s Senior Director of Programs position is currently vacant and soon to be hired.</t>
  </si>
  <si>
    <t>Community and participant feedback plays a core role in determining how our programs are delivered. We use student surveys as well as teacher and program evaluations to understand what students want from a given program, determine participants’ satisfaction with their learning outcomes, and identify areas of improvement. For example, in a past survey, students indicated that they needed more conversation practice. Our educators listened and responded by incorporating more conversation into their daily lesson plans and offering conversation practice outside of class time. Additionally, we now provide tutors through Community Literacy who visit our Little Village site on Fridays and offer free conversation tutoring that is open to all students in our ESL and ABE classes.
Staff also obtain qualitative feedback from tutors and learners at regular check-ins. These anecdotal stories and experiences provide insight beyond what numbers can show and allow participants to provide feedback in more informal settings as topics arise. This allows us to switch learners from monolingual to bilingual tutors when we think it will be a better fit. In other scenarios, as learners attempt to tackle material that is too challenging, informed instructional content adjustments are made to reflect learners’ needs.</t>
  </si>
  <si>
    <t>We collaborate with a variety of community partners at the program level to expand and enrich our ability to provide families and individuals with valuable services.
Children &amp; Youth services partner with the Carole Robertson Center for Learning to supply our teachers with a wide range of Professional Development opportunities. ENH is a leader in South Lawndale’s Little Village Literacy Collaborative, a youth literacy initiative which includes the Chicago Public Library, Enlace Chicago, and Open Books. In Adult Education &amp; Training, partners include Women Employed, the Nirvana Institute, Prime Healthcare, and UPS. Erie House also participates in the Chicago Benchmarking Collaborative with six other social services organizations that collaborate to strengthen service delivery and organizational capacity by sharing data and evaluation and assessment best practices. These partners include Christopher House, Chicago Commons Association, Gads Hill Center, the Chinese American Service League, Chicago Youth Centers, and St. Vincent Marillac. The City of Chicago’s Department of Family &amp; Support Services provides referrals for our behavioral health program and also supports our early childhood education program. Northwestern Medicine is a new partner in the area of Community Wellness; we are working collaboratively to provide researchers access to the community we serve in the hopes of improving cancer outcomes in low-income communities.</t>
  </si>
  <si>
    <t>Erie Neighborhood House believes in the importance of diversity, equity, access, and inclusion. We stand in solidarity with those fighting against injustice, oppression, and systemic racism in all its forms. Our mission is to empower our community — Latinx immigrants and individuals and families of all backgrounds. “All backgrounds” represents our commitment to inclusion across race, gender, age, religion, identity, ability, and experience. We are committed to working to unify our communities behind the shared goal of justice and equity.
As an organization primarily serving low-income Latinx and immigrant individuals and families, we have hired staff members from and representing these communities. Currently, 85% of our staff identify as Latinx. By having staff members who live in the neighborhoods where we work, can speak the same language as our participants, and know the nuances of living as a Latinx or immigrant-identifying individual in Chicago, we have built significant trust between our organization and the communities we serve. Through deliberate efforts, we foster spaces where everyone feels valued, heard, and empowered, creating a foundation of collective growth and support.
ENH has always been and continues to be committed to the principles of equal opportunity employment as required by law. It is the objective and policy of ENH to make employment decisions without regard to race, color, age, religion, sex, national origin, disability, military service, and any other characteristic protected by federal, state or local law. This equal employment opportunity policy applies to employment decisions, including without limitation, personnel practices such as recruiting, hiring, transfer, layoff or termination and rates of pay. 
Erie House also convenes a Diversity, Equity, and Inclusion Council (created in 2017) to reaffirm and advance the organization’s mission and vision through a lens of equity, inclusion, and representation. Made up of array of staff from across the organization, the Council is charged with establishing organizational policy related to diversity, equity, inclusion, justice and access, which includes hiring practices that welcome different perspectives and approaches, nurturing a culture of inclusivity at the site, program, and decision-making level, and deepening our commitment to advocacy on behalf of our community. The Council provides educational opportunities for colleagues and peers to work collaboratively on these efforts.</t>
  </si>
  <si>
    <t>Erie Neighborhood House has served immigrant and low-income communities for over 150 years, providing us a wealth of experience from which to respond to Chicago’s neediest neighbors. From the beginning, we have consistently been a forward-thinking leader when providing services, with such examples as a free kindergarten program in 1893, a daycare program in 1942, and a youth mentoring program in 1984. In 2010, we started offering mental health and wellness services, and we are currently at the forefront of support for the influx of migrants who have made the journey from around the world to Chicago. Our approach to human services is comprehensive, collaborative, and compassionate and we continue to evolve to provide the most comprehensive wraparound programming for the Latinx and immigrant community in Chicago.
Empowerment through education across the spectrum of ages is at the heart of all Erie House programming. Children and youth are equipped from infancy through high school graduation with tools and resources to build a bright future, including educational programs and activities, mentoring, and other holistic supports. We supply the tools adults need for long-term success, including foundational academic and professional programs like English as a Second Language (ESL), civics education, workforce development, and more.  Families can find assistance with behavioral health and community wellness programming that centers a trauma-informed approach through workshops, support groups, and counseling. Such activities provide mental health benefits, emotional support, and safety for youth, families, and individuals to heal, be resilient, and practice healthy relationships. Erie House also disseminates critical resources, tools, and information needed to thrive, and provides direct outreach, including details on public benefits and housing opportunities. Lastly, our legal team supports immigrants navigating the US citizenship and immigration system, keeping families together and allowing them to achieve greater security.   
With five sites across West Town, Near West Side, Humboldt Park, and South Lawndale (as well as satellite locations in the suburbs of Cicero and Berwyn), Erie House provides direct services annually to over 7,500  individuals and reaches an additional 11,000 people through referrals, education workshops, and community outreach efforts that transform and strengthen community, build leadership, and encourage civic engagement across the Chicago metropolitan area.</t>
  </si>
  <si>
    <t>Our top three existing and anticipated private funding sources are as follows:
Robert R. McCormick Foundation - $250,000
The UPS Foundation - $250,000
Healthy Communities Foundation - $220,000</t>
  </si>
  <si>
    <t>Our top three existing and anticipated public funding sources are as follows:
IL Dept of Human Services - $2,993,480
IL Dept of Human Services Subsidized Childcare - $2,444,263
Community Development Block Grant - $1,324,712</t>
  </si>
  <si>
    <t>17.57</t>
  </si>
  <si>
    <t>.51</t>
  </si>
  <si>
    <t>.47</t>
  </si>
  <si>
    <t>.14</t>
  </si>
  <si>
    <t>The population with the highest percentage of participation in ENH programming is children and youth between the ages of 0-19.</t>
  </si>
  <si>
    <t>https://www.jotform.com/uploads/Sol_Flores_sflores/242752736237461/6216857186471425960/ENH%20FY25%20Budget.pdf
https://www.jotform.com/uploads/Sol_Flores_sflores/242752736237461/6216857186471425960/501c3%20Declaration.pdf
https://www.jotform.com/uploads/Sol_Flores_sflores/242752736237461/6216857186471425960/Board%20Member%20List.pdf
https://www.jotform.com/uploads/Sol_Flores_sflores/242752736237461/6216857186471425960/ENH%20Audit%20%282024%29.pdf
https://www.jotform.com/uploads/Sol_Flores_sflores/242752736237461/6216857186471425960/FY23%20990%20%28Compressed%29.pdf
https://www.jotform.com/uploads/Sol_Flores_sflores/242752736237461/6216857186471425960/FY25%20Executive%20Leadership%20Bios.pdf</t>
  </si>
  <si>
    <t>https://www.jotform.com/uploads/Sol_Flores_sflores/242752736237461/6216857186471425960/ENH%20Annual%20Report%202023.pdf
https://www.jotform.com/uploads/Sol_Flores_sflores/242752736237461/6216857186471425960/ENH%20FY25-27%20Strategic%20Plan.pdf
https://www.jotform.com/uploads/Sol_Flores_sflores/242752736237461/6216857186471425960/ENH%20Board%20and%20Staff%20Demographics.pdf</t>
  </si>
  <si>
    <t>80% of our current total organizational budget is public. 20% of our current total organizational budget is private.</t>
  </si>
  <si>
    <t>West Town</t>
  </si>
  <si>
    <t>cbarbaro@uchicago.edu</t>
  </si>
  <si>
    <t>UChicago Inclusive Economy Lab</t>
  </si>
  <si>
    <t>36-2177139</t>
  </si>
  <si>
    <t>111 W Washington</t>
  </si>
  <si>
    <t>Suite 1023</t>
  </si>
  <si>
    <t>60602</t>
  </si>
  <si>
    <t>https://inclusiveeconomy.uchicago.edu</t>
  </si>
  <si>
    <t>Carmelo</t>
  </si>
  <si>
    <t>Barbaro</t>
  </si>
  <si>
    <t>7737023237</t>
  </si>
  <si>
    <t>Rooney</t>
  </si>
  <si>
    <t>Senior Finance and Operations Manager</t>
  </si>
  <si>
    <t>jrooney@uchicago.edu</t>
  </si>
  <si>
    <t>2015</t>
  </si>
  <si>
    <t>43</t>
  </si>
  <si>
    <t>The Inclusive Economy Lab last conducted a staff demographics survey in summer 2023. At this time, approximately 66 percent of staff identified as female. 25 percent of our team identified as Black, 15 percent as Hispanic, 15 percent as Asian or Asian American, and 6 percent identified as Middle Eastern or North African. This survey also collected information about the lived experience of our staff. 36 percent are first-generation college students, and 27 percent attended a community college. 23 percent have experienced housing instability.
The Inclusive Economy Lab does not have a board of directors, as the Lab is legally a division of the University of Chicago.</t>
  </si>
  <si>
    <t>Vision: Real Financial Security And Economic Opportunity For All Communities
Mission: The Inclusive Economy Lab partners with policymakers, community-based organizations and others to generate rigorous evidence that leads to greater financial security and real economic opportunity for communities harmed by disinvestment and segregation.</t>
  </si>
  <si>
    <t>Government policies and institutional structures have excluded many Americans – and especially the Black and Latinx communities – from opportunities for education, employment, and wealth creation. Building an inclusive economy - one that provides real economic opportunities for all communities – requires innovation, collaboration across sectors, and evidence about what works and what doesn’t. Traditional research can take years, and the results often don’t reach those who need the information most – the people living with and working on these issues.
The Inclusive Economy Lab solves this by working with policymakers, organizations, and communities to identify their most urgent and pressing challenges, co-generate evidence about what works, and translate that evidence into real policy change.  We focus on answering questions that are important to our partners, but bring the advanced research methods of a world-class university to bear on those questions. 
Our work spans housing, education, workforce development and safety net policy, allowing us to understand how inequities in one policy area (e.g., housing) can perpetuate challenges in another area (e.g., education). By building deep, long-term relationships with government agencies, we can better understand the goals and constraints facing policymakers and make practical recommendations. Our work is centered in Illinois, but our learnings have broad applicability nationwide.</t>
  </si>
  <si>
    <t>Systems Building</t>
  </si>
  <si>
    <t>Our goal is to motivate policymakers and elected officials to change policies and allocate funding in ways that improve lives. Because the Lab operates within an ecosystem of researchers and advocates, it would be irresponsible to attribute positive impacts on individual lives to our work alone; our impact is borne of partnership. Nevertheless, we do our best to document how our research is used by others, and wherever possible work with partners to study whether our recommendations actually had a positive impact.
In the coming year, the Lab plans to produce a dashboard on employment outcomes for City Colleges students, as well as findings on financial aid policy at the district. We will also develop recommendations for counselors and education administrators based on these findings. 
The Lab will also host a daylong event to share findings from our partnership with the Office to Prevent and End Homelessness, and will issue recommendations to OPEH about how to improve takeup of homelessness prevention funding. 
We will report back on whether these various recommendations were adopted by decisionmakers as well as any plans to conduct ongoing monitoring that can demonstrate the long-term benefit of making these changes.</t>
  </si>
  <si>
    <t>Carmelo Barbaro
Kelly Hallberg
Liz Weber</t>
  </si>
  <si>
    <t>Community engagement has always been central to the Inclusive Economy Lab's approach. Across all areas of work, the Lab builds long-term relationships with government agencies, service providers and advocacy organizations; their concerns and priorities drive our research agenda. For example, our work on housing is informed by our deep engagement in working groups and committees of the Chicago Continuum of Care, as well as our longstanding relationship with the Chicago Coalition to End Homelessness. These relationships put us in contact with frontline service providers as well as program participants on a regular basis. Additionally, we share our research findings with these groups, creating additional opportunities for feedback.
Community engagement shapes not only what we study, but how we answer questions. In recent years, the Lab has dramatically expanded its capacity to collect qualitative data. By talking directly to study participants through interviews and focus groups, our researchers learn about their aspirations and challenges, building our knowledge of the context in which policies are implemented and surfacing new areas of inquiry. 
The Lab is also experimenting with new ways to engage community members in our work. For example, one of our recent guaranteed income studies included a PhotoVoice component, in which study participants shared photographs that highlighted how the guaranteed income program was affecting their lives. In partnership with the Chicago Public Library, these photographs were developed into an exhibit that traveled to multiple branches around the city.</t>
  </si>
  <si>
    <t>Partnership is central to the Inclusive Economy Lab’s model; it drives all stages of our work. Collaborations that might be of particular interest to Knight Impact Partners includes our longstanding relationships with Chicago Public Schools, City Colleges of Chicago, Illinois Department of Human Services, and One Million Degrees. These organizations implement the programs and policies that we study, and provide data that is required to understand program effectiveness. They provide guidance on what to study, and help us to make sense of the research findings. Most importantly, they ultimately bear responsibility for acting on our findings and reforming systems and policies; our partnership model ensures that they have confidence in our conclusions and are bought into our recommendations by the time the project is complete.</t>
  </si>
  <si>
    <t>The Inclusive Economy Lab is firmly believes that our work is better when our team reflects a diversity of perspectives, professional backgrounds and lived experiences, including firsthand experience of the barriers faced by communities of color. We also understand that these benefits can only be realized when our organizational culture is inclusive and every member of the team feels empowered to share their perspective and feels valued. 
To accomplish these goals, the Lab has made a number of commitments and changes to its policies and processes. We have diversified schools and programs from which we recruit and shifted over time toward a skills-based hiring model. We have built an internal training and customized onboarding platform that allows individuals who bring valuable professional or lived expertise to gain required technical skills once they are on the job. Our leadership team has worked closely with a racial equity consultant who helped us build comfort discussing power dynamics and communicating across difference. Our organization has also made a public commitment to transparency and periodically posts staff demographic survey results on our website.</t>
  </si>
  <si>
    <t>The Inclusive Economy Lab turns the traditional model of academic research on its head: instead of starting with questions that are interesting to faculty and finding outside partners to participate in a study, we start with the questions that are important to *partners* and recruit faculty who are motivated to answer them. This has required building relationships with both partners and faculty over long periods of time and understanding their needs and interests well enough to build the right project team for the work. This has enabled us to more quickly and consistently translate research findings into practical change. 
Our work with One Million Degrees and City Colleges of Chicago (described above) offers a tangible example of research leading to systems change, but the Lab’s insights have driven a number of other practically important (if less newsworthy) changes. For example, the Lab administered a survey of applicants to the City of Chicago’s Rental Assistance Program during the COVID-19 pandemic. As a result of feedback from survey respondents and recommendations from the Lab, the City streamlined documentation requirements, standardized procedures across its six community service centers, and began to proactively distribute information about other community resources to program applicants. Similarly, our research found that many CPS students were unable to take advantage of accelerated community college programs simply because they failed to share their high school transcripts; in response, City Colleges of Chicago redesigned its application so that students default to sharing their transcript unless they choose to opt out.</t>
  </si>
  <si>
    <t>The Inclusive Economy Lab is a research center within the University of Chicago. Though the University does not provide direct financial support to the Lab, its legal infrastructure, grant management systems, and compliance processes govern our operations. In addition, the Inclusive Economy Lab benefits from a $2M endowment, which we hope to grow over time.
Our budget for FY26 is $7M and is comprised of the following sources:
- $2M from individual donors;
- $600K in local / state government contracts;
- $500K in federal research grants;
- $400K in contracts from nonprofit organizations; and
- $3.5M from foundations.
In total, approximately 20 local and national foundations support our work. Our largest single source of funding is a $1.5M gift from an individual donor, which is set to expire this fiscal year. The Lab is working to identify new sources of funding to replace this gift.</t>
  </si>
  <si>
    <t>Amounts below are FY26 only. In some cases, this is a portion of a multi-year award.
Margot and Tom Pritzker: $1.5M
Arnold Ventures: $433K
Chicago Community Trust: $300K</t>
  </si>
  <si>
    <t>Amounts below are FY26 only. In some cases, this is a portion of a multi-year award.
Cook County Bureau of Economic Development: $370K
National Science Foundation: $320K
Illinois Department of Employment Security: $115,000</t>
  </si>
  <si>
    <t>85%</t>
  </si>
  <si>
    <t>While our projects are diverse and serve individuals across the life course, the majority of our work focuses on children and young adults (0-39 years old).</t>
  </si>
  <si>
    <t>https://www.jotform.com/uploads/Sol_Flores_sflores/242752736237461/6216844553513046666/2015%20501%20c3%20IRS%20letter.pdf
https://www.jotform.com/uploads/Sol_Flores_sflores/242752736237461/6216844553513046666/2021-22%20IRS%20Form%20990.pdf
https://www.jotform.com/uploads/Sol_Flores_sflores/242752736237461/6216844553513046666/2024-25-Board-of-Trustees-List-with-Affiliations-8.7.24.pdf
https://www.jotform.com/uploads/Sol_Flores_sflores/242752736237461/6216844553513046666/2024-2029%20IL%20Sales%20Tax%20Exemption%20Cert.pdf
https://www.jotform.com/uploads/Sol_Flores_sflores/242752736237461/6216844553513046666/IEL%20Key%20Staff%20Bios%204%2028%2025.pdf
https://www.jotform.com/uploads/Sol_Flores_sflores/242752736237461/6216844553513046666/2023-2024%20The%20University%20of%20Chicago%20Financial%20Statements.pdf
https://www.jotform.com/uploads/Sol_Flores_sflores/242752736237461/6216844553513046666/IEL%20Operating%20Budget%20FY26.pdf</t>
  </si>
  <si>
    <t>Approximately 16 percent of our budget for FY26 will rely on public sources.</t>
  </si>
  <si>
    <t>michelle.finkler@ywcachicago.org</t>
  </si>
  <si>
    <t>YWCA Metropolitan Chicago</t>
  </si>
  <si>
    <t>36-2179765</t>
  </si>
  <si>
    <t>1 N LaSalle</t>
  </si>
  <si>
    <t>Suite 1700</t>
  </si>
  <si>
    <t>https://www.ywcachicago.org</t>
  </si>
  <si>
    <t>Nicole</t>
  </si>
  <si>
    <t>Robinson</t>
  </si>
  <si>
    <t>nicole.robinson@ywcachicago.org</t>
  </si>
  <si>
    <t>312-762-2751</t>
  </si>
  <si>
    <t>Michelle</t>
  </si>
  <si>
    <t>Finkler</t>
  </si>
  <si>
    <t>Vice President, Institutional Engagement</t>
  </si>
  <si>
    <t>312-762-2738</t>
  </si>
  <si>
    <t>1876</t>
  </si>
  <si>
    <t>254</t>
  </si>
  <si>
    <t>6</t>
  </si>
  <si>
    <t>300</t>
  </si>
  <si>
    <t>Staff Race/Ethnicity
Asian	2%
Black/African American	45%
Hispanic or Latino	27%
More than one race/ethnicity 1%
White/Caucasian	24%
Staff Gender
Female 90%
Male 9%
Nonbinary/gender non-conforming 1%
Board Race/Ethnicity
Asian 7%
Black/African-American 31%
Hispanic or Latino 4%
Middle Eastern/North African 2%
More than one race/ethnicity 2%
White/Caucasian 53%
Board Gender
Male 11%
Female 87%
Non-binary/gender non-conforming 2%</t>
  </si>
  <si>
    <t>Mission: YWCA Metropolitan Chicago is dedicated to eliminating racism, empowering women and promoting peace, justice, freedom, and dignity for all.
Vision: We share a vision for an inclusive marketplace where everyone thrives.</t>
  </si>
  <si>
    <t>YWCA Metropolitan Chicago is committed to eliminating racism, empowering women, and promoting peace, justice, freedom and dignity for all. We do this by empowering 100,000 women and their families each year, working to address economic and health inequities at the intersection of race and gender. These holistic and comprehensive human services help families heal from trauma, advance economic equity, and unleash youth and family potential.  
Across these three strategic pillars, the YWCA centers the economic wellbeing of women and their families by unleashing their economic potential through workforce development, entrepreneurship services, financial education and affordable childcare. We work to mitigate the mental and physical health challenges faced by women of color, including the disproportionate burden of sexual assault, by providing direct service and system navigation supports. These supports protect mental and physical health and mitigate barriers to economic empowerment. The combined strength of our overall healthcare navigation, mental health and sexual assault expertise positions us to unleash the potential of women and their families.  
A commitment to racial justice, equity, and inclusion runs through all YWCA activities. YWCA Metropolitan Chicago works at the individual and systems levels to create an inclusive marketplace where everyone thrives. The organization is an active member of many national, state, county and city-level coalitions, advocating for policies that center racial and gender equity to eliminate disparities, combat racism, and support women and families.</t>
  </si>
  <si>
    <t>YWCA programs have clear, measurable criteria and objectives which are tracked and evaluated in our customized database, Efforts to Outcomes (ETO). We seek both quantitative and qualitative outcomes, inclusive of the number of people served and hours of service, alongside program effectiveness and outcomes on a continuum, including clients’ progress and stories. For Sexual Violence Support Services this may mean moving from crisis to stability and the ability to access resources and tools to further aid in healing, as well as measuring statistically significant improvement in emotional, social, behavioral and physical well-being. For Economic Inclusion, this means the development of a plan for financial independence and asset acquisition, developing skills and gaining certifications, entering employment sectors to which previous access was limited or prevented, or launching and growing a small business. Within Early Childhood Services this means helping thousands of families access quality child care and subsidies each year. We also assist child care providers with training to help increase their QRIS (Quality Rating System) score, and business services to help support the growth and sustainability of their businesses.
A sample of enterprise-wide key annual benchmarks include:
•	1,000 calls answered on the Rape Crisis Hotline
•	800 survivors of sexual assault/abuse provided with counseling and/or advocacy
•	100+ health-related preventative screenings/information workshops and events hosted
•	1,000 individuals provided with health care navigation and case management
•	300 unique small businesses served
•	250 individuals participating in workforce development services
o	86% increasing their skills or earning certifications
o	70% placed in employment
•	1,300 child care providers assisted with training, resources, and quality improvement
•	60,000 client interactions (phone, email, walk-in) annually through Child Care Resource and Referral program</t>
  </si>
  <si>
    <t>Nicole Robinson, Chief Executive Officer, was born and raised on Chicago’s south side, and is a fierce advocate for women, girls, and justice. Prior to joining the YWCA in 2022, Nicole served as the Chief Partnership and Program Officer at the Greater Chicago Food Depository where she focused on the intersection of health, food and economic opportunity. Before joining the social sector, Nicole began her career in corporate finance supporting various business units and would go on to lead the corporate foundation for Kraft Foods and Mondelez International. 
Loren Simmons, MPH, serves as the Chief Empowerment Officer and oversees the Safety and Wellness division. Loren has more than 25 years of leadership experience in sexual assault crisis intervention, public health, and racial equity.
Loukisha Smart-Pennix joined the YWCA in 2019 as the Education Director, empowering the childcare ecosystem to drive affordability and access. She was promoted to Chief Youth and Family Potential Officer in 2023, where she leads all of the YWCA’s programs in family, youth, and child services. 
Paul Thompson, Chief Economic Empowerment Officer, has 30+ years of business experience across workforce development, affordable housing, and entrepreneurship. He previously served as the Dean of Business and Professional Services at City Colleges Chicago and is currently President of the Pullman Tech Workshop Board of Directors. He oversees the YWCA’s Economic Inclusion portfolio, including workforce, housing, and entrepreneurship services.
Full bios of our entire executive team can be found on our website at https://ywcachicago.org/leadership#executive-team</t>
  </si>
  <si>
    <t>Throughout all of our work, we center the voices of and empower women and families who reside in under-resourced communities, primarily people and communities of color, Black and Brown. Our client-centered and strength-based approach, along with our trauma-informed service delivery, enables participants to inform programs to ensure they are fully served and supported by the YWCA. We provide essential wrap-around services designed to eliminate barriers to participation and success.
YWCA is profoundly committed to ensuring that our people – both our staff and our clients – have consistent, high-quality experiences in every YWCA program and at every YWCA site. Within programs and services, we intentionally integrate customer/participant feedback processes into our continuous quality assurance and improvement activity. We continuously collect feedback and suggestions for program improvement and use them to enhance, expand, and improve our services, thereby honoring the lived experiences and inherent strengths of every individual we serve.
To that end, we have a variety of formal and informal mechanisms to center community voices and their leadership. These discussions, issues and conversations regularly inform existing programs, new programs and most recently were incorporated into a strategic refresh process:  
Community Circles Program
To better center racial equity and the experiences of marginalized communities in our advocacy framework, we launched our Community Circles program. We developed various educational and advocacy curricula that seek to transform the policy landscape to be more inclusive, ensuring that often-sidelined people and groups are not only heard but also empowered to drive impactful policy change. 
Our Community Circles recruit individuals on Chicago’s South and West Sides who participate in our programs and/or reside in our service area. Our aim with the Community Circles is to equip individuals with resources to 1) identify the issues that matter most to them; 2) learn effective methods to affect change; and 3) advocate for their targeted issues. To date, we have convened with 108 community members, with the goal of reaching at least 200 this year. We are partnering with community-based organizations (CBOs) to engage community members and provide additional support in the advocacy they lead, such as My Block, My Hood, My City and Austin Coming Together. To date, members have prioritized, health, the economy, and safety as core issues of focus. 
Reducing Community Violence Initiative 
We also partner with seven other CBOs on a city-wide initiative commissioned by the Mayor’s Office and the Chicago Police Department to improve policing in Chicago in a way that centers community input, safety, and well-being. The YWCA and these CBOs are separately convening community members to gather their perspectives and then to collectively provide recommendations to the City’s officials so that they can implement policing programs that prioritize the safety, well-being, and meet the needs of all Chicagoans.
Program Integrated Client Leadership 
Across a variety of programs clients lead in official capacities including our Parent Advisory Council, where parents discuss the economic, social and parenting challenges and opportunities they face and how to address them. Our signature Fifty-Plus, women led workforce community brings together women over fifty who are pivoting careers or later entrants to the workforce.  Our Breedlove Entrepreneurship Alumni convenes women who have pivoted from become sole proprietorship businesses as a path to economic opportunity.  And Health Empowerment &amp; Survivors of Violence community cohort regularly convenes to discuss recovery from trauma, alongside the strategies to unleash social and economic well-being.</t>
  </si>
  <si>
    <t>YWCA Metropolitan Chicago is a member of many local, state, regional, and national coalitions and collaborations that align to our work and help us to advance our mission. We believe the challenges communities cope with are systemic and necessitate partnership to improve the quality of life for families.  Our partnerships include local and state government, corporations, foundations, and other community organizations. 
Specific to our Workforce Development services, YWCA Metropolitan Chicago collaborates with more than 100 community partners to connect clients to employers in high-demand, high-growth sectors such as IT, manufacturing, construction, major utilities, and transportation. Examples of our network of our workforce, economic and entrepreneurship partners include City of Colleges of Chicago Good Jobs collaboration Partner, Chicago Jobs Council, City of Chicago/University Chicago Inclusive Economy Lab on Cash Assistance, Cook Workforce Board, and CBOC, a coalition of workforce development nonprofits partnering on recruitment/placement. Alongside employment coalitions we have a network of 200+ employment partners regularly supporting in placing job seekers. In Business and Entrepreneurship, the YWCA continues to convene an ever-expanding alliance of business-serving organizations. We also participate in coalitions and collaborations in order to share best practices and mutual referrals.
In support of our health navigation and gender-based violence work, we partner with 30+ hospitals and clinics for health promotion efforts, screenings and medical referrals. We participate in a variety of coalitions including those related to gender-based violence such as ICASA and the Cook County JAC. We are a leader in state and regional coalitions for Early Childhood Services. We continually foster strategic partnerships with corporations and foundations, seeking out deeper, long-term, mutually beneficial partnerships with organizations that share a commitment to transforming communities and advancing diversity and inclusion.</t>
  </si>
  <si>
    <t>Given that YWCA Metropolitan Chicago’s mission is to eliminate racism and empower women, it is critical that we as an organization have a clear understanding of the racial inequities facing our constituents, develop a race equity culture inside our organization, and implement strategies to advance racial equity for the communities we serve.
Our current leadership team has embraced the Center for Social Inclusion’s definition of racial equity as both a process and an outcome. As a process, we apply racial equity when those most impacted by structural racial inequity are meaningfully involved in the creation and implementation of the institutional policies and practices that impact their lives. As an outcome, we believe we will have achieved racial equity when race no longer determines one’s socioeconomic outcomes; when everyone has what they need to thrive, no matter where they live. Our internal framework for racial justice considers five areas of impact:
•	People – Human capital strategy, equal opportunity, staff diversity representative of those we serve, cultural competency, employee development and career advancement.  Ongoing staff development includes facilitating Belonging Trainings and our annual Resilience Day to recognize staff impact.
•	Programs and Services – Where we operate, what programs and services we provide and to whom, addressing lack of access to support, resources, and opportunities in health, education, and employment.
•	Public Awareness – Raising awareness of racism and its effects through public messaging and events, such as Women’s Futures Month presentations and discussions
•	Policy – Developing and advocating for public policies that promote gender equity and racial equity and benefit the constituents of the YWCA
•	Partnerships – Working across different sectors to advance racial equity initiatives, including public initiatives such as City of Chicago’s Universal Basic Income Pilot, COVID Contact Tracing and Census 2020.  In both the Basic Income Pilot and the COVID work, YWCA was the lead outreach partner.
YWCA’s approximately 260 staff members are reflective of the communities we serve: 44% identify as Black/African American, 28% Hispanic/Latino, 23% Caucasian/White, 2% Asian/Pacific Islander 2% Two or more races and 1% Other. Our Board is also diverse, engaging women (88%), men (10%) and non-binary individuals (2%) in our movement to eliminate racism and empower women. Currently, 56% of YWCA’s Board of Directors identifies as Caucasian/White, 33% Black/African American, 2% Hispanic/Latino, 7% Asian/Pacific Islander, and 2% Two or more races.</t>
  </si>
  <si>
    <t>Through each service area of the YWCA, our programs and leaders work to challenge existing systems and structures and strive to advance gender and racial equity. We leverage our institutional influence to question the status quo and to center the marginalized communities that we serve. Leveraging our position as a trusted and valued community partner, YWCA sits in a place of unique opportunity to increase our role as a convener, bringing together our clients to better understand their current sentiments and real-time concerns. There is a great opportunity for communities to harness their own authentic voices and storytelling to shift harmful narratives and secure additional resources so they can prosper and thrive. We also look to amplify these powerful voices, so they are heard and understood by the general public, to better educate various stakeholder groups and to shine a light on the everyday unsung heroes, the caretakers, parents and families that are being impacted, especially by changes to social programs supported by the federal government.
Our marketing efforts advance equity and access by leveraging key channels to reach marginalized individuals, and by making careful content choices to appeal to target audiences. This includes fostering and maintaining deep and meaningful community partnerships with local electeds, faith-based organizations, and community groups through which we employ our outreach and engagement efforts. When designing fliers, advertisements, and other collateral, we intentionally use images that reflect our target population in race/ethnicity, age, and gender, and choose language appropriate to and inclusive of our service populations.
In addition to an enterprise-wide non-discrimination policy, YWCA Metropolitan Chicago promotes equity in recruitment and enrollment for our programs by intentionally targeting marginalized groups. This includes working with partner agencies who assist returning citizens, those in the foster care system, and those experiencing or escaping violence. We strive to make enrollment processes accessible by providing flexible hours and key supports, such as transportation assistance and child care assistance.
Recognizing that our target populations often lack resources to mitigate barriers to participation or completion, we first conduct a comprehensive assessment of each participant’s identified needs at enrollment. This needs assessment informs the initial service plan, where common issues are addressed either internally or through a direct referral process to other service agencies. We also provide comprehensive supportive services throughout the duration of the program. These services include but are not limited to child care, transportation, mental health care, financial inclusion education, entrepreneurship and small business support, foreclosure prevention, digital inclusion training, clothing, tools/equipment, exam fees, and many more.
Furthermore, we work across various sectors to advocate for the communities we serve and their unique needs. In our Sexual Violence Support Services work, we interface with the medical and legal systems with the sole purpose of mitigating the barriers and challenges our clients face because of their race, ethnicity, and/or gender. We do the same through workforce development and small business development, engaging with employer partners and financial institutions to help them understand the strengths and challenges of marginalized communities, and leverage access to industries and capital. Within Early Childhood, the YWCA is a thought leader and advocate for the early care and education sector, working to strengthen the child care ecosystem and its vital role in a thriving economy.</t>
  </si>
  <si>
    <t>We are financially stable but like many organizations, on the heels of the pandemic we experienced some challenges with higher overhead costs and staff turnover, which for the YWCA was further complicated by several acquisitions. Over the last three years, under the leadership of our current CEO Nicole Robinson, the YWCA has been focused on building resilience and ensuring the stability and sustainability of our organization and our full portfolio of services. Building organization resilience focused on three pillars: finance transformation, unleashing the potential in people, and building philanthropic support. As a result of these efforts, we continue good fiscal stewardship ending FY24 within 1% of budget with a minimal deficit of $130,000. 
Since implementing our resilience strategy, we have significantly reduced overhead costs by driving productivity of nearly $2.5MM through key operational efficiencies. These include changing IT providers, sunsetting underperforming and/or underfunded programs, and reimagining our lease strategy. We also transformed the accounting function under the leadership of our CFO Anjanette Brown and for two consecutive years, under the leadership of our Chief Development Officer Emily Dreke, we generated the highest raise ever achieved for our annual luncheon. The expertise of our financial department has enabled us to earn revenue by serving as a fiscal agent for other entities, most recently in partnership with the City Treasurer's Office, and with other projects emerging.
We continue to prioritize building philanthropic revenue on the heels of an Alford Group report, which highlighted our strength in corporate giving as well as the need to invest in growth through individual giving. A new VP position was created focused on attracting, retaining, and growing support from individuals at all levels of giving. We have seen results in our year-end fundraising (increasing year over year) and overall individual fundraising revenue has nearly doubled over the last two years. We are confident about our sustainability through a combination of continuing to grow philanthropic revenue, growing existing earned revenue capacity, and being good fiscal stewards.</t>
  </si>
  <si>
    <t>JP Morgan Chase Foundation $200,000 over two years (existing/anticipated)
Coleman Foundation $200,000 over two years (existing/anticipated)
YWCA USA $131,000 existing</t>
  </si>
  <si>
    <t>Department of Health and Human Services - $11,057,107 existing
Illinois Department of Human Services - $5,223,492 existing
Illinois Coalition Against Sexual Assault - $4,915,259 existing</t>
  </si>
  <si>
    <t>Adults 18 and older</t>
  </si>
  <si>
    <t>75</t>
  </si>
  <si>
    <t>https://www.jotform.com/uploads/Sol_Flores_sflores/242752736237461/6216817006139652102/FY25%20YWCA%20Operating%20Budget.pdf
https://www.jotform.com/uploads/Sol_Flores_sflores/242752736237461/6216817006139652102/YWCA%20IRS%20501c3.pdf
https://www.jotform.com/uploads/Sol_Flores_sflores/242752736237461/6216817006139652102/YWCA%20Board%20Directory%20FY25.pdf
https://www.jotform.com/uploads/Sol_Flores_sflores/242752736237461/6216817006139652102/YWCA%20Metro%20Chicago%20FS%20Audit%200624%20-%20Final.pdf
https://www.jotform.com/uploads/Sol_Flores_sflores/242752736237461/6216817006139652102/PUBLIC%20DISCLOSURE-FY23%20THE%20YWCA%20OF%20METROPOLITAN%20CHICAGO.pdf
https://www.jotform.com/uploads/Sol_Flores_sflores/242752736237461/6216817006139652102/Key%20Staff%20April%202025.pdf</t>
  </si>
  <si>
    <t>https://www.jotform.com/uploads/Sol_Flores_sflores/242752736237461/6216817006139652102/Strategy%20Refresh%20summary%20and%20CY2024%20activities.pdf</t>
  </si>
  <si>
    <t>80% public/government (local, state and federal) and 20% private.</t>
  </si>
  <si>
    <t>grants@bravespacealliance.org</t>
  </si>
  <si>
    <t>200</t>
  </si>
  <si>
    <t>rani.averick@gmail.com</t>
  </si>
  <si>
    <t>Margaret’s Village</t>
  </si>
  <si>
    <t>36-3104655</t>
  </si>
  <si>
    <t>7315 S Yale Ave</t>
  </si>
  <si>
    <t>60621</t>
  </si>
  <si>
    <t>www.margaretsvillage.org</t>
  </si>
  <si>
    <t>Angela</t>
  </si>
  <si>
    <t>Hicks</t>
  </si>
  <si>
    <t>773-651-8372 x 240</t>
  </si>
  <si>
    <t>Rani</t>
  </si>
  <si>
    <t>Averick</t>
  </si>
  <si>
    <t>Development / Grant Writer</t>
  </si>
  <si>
    <t>312-804-0304</t>
  </si>
  <si>
    <t>1974</t>
  </si>
  <si>
    <t>150</t>
  </si>
  <si>
    <t>STAFF
24 Female, 7 Male
30 African American, 1 Caucasian
Executive leadership (included in staff numbers above): 4 African American
BOARD
12 Female, 4 Male
6 African American, 2 Asian, 8 Caucasian</t>
  </si>
  <si>
    <t>Margaret's Village transforms lives. We provide a transitional housing and empowerment program to end homelessness for women, children, and families on Chicago’s South Side, to turn isolation and homelessness into community and self-sufficiency.  We serve approximately 400 individuals annually across two 50-bed facilities: Maria Shelter in Englewood for women and children, and Believe Shelter in South Chicago for families that may include adult men. Our residents are 90% Black, 7% Hispanic, 60% children—including infants, toddlers, and teenagers. 33% arrive with some degree of mental health issues. During a typical stay of four-to-eight months, our objective is to help our residents transcend trauma, stabilize their lives, and attain safe and affordable permanent housing.
We also operate the Vincennes Senior Center, providing companionship, activities, and fresh meals for approximately 100 local seniors facing isolation and food insecurity. We are the site of a Community Garden from which we and our neighbors harvest fresh produce in season. And we host an annual Community Health Fair in the summer, and an annual Community Peace Fair in the fall.
Our vision is to provide safety and security to those who need us, to be an anchor in our communities, and to collaborate with our partners to bring systemic change to Chicago’s South Side.</t>
  </si>
  <si>
    <t>Each year, Margaret’s Village serves approximately 400 homeless individuals for a typical stay of four to  eight months. Most are referrals from Chicago’s Department of Family and Support Services. The city calls every day to transfer people from emergency shelter if beds are available. Agencies, churches, and hospitals also refer clients. And, on a typical day, 30+ individuals call seeking temporary housing.
90% of our residents are Black, 7% are Hispanic, 60% are children. Typically, 33% arrive with some degree of mental health issues. They arrive at the lowest point in their lives, often with only the clothes on their backs or a plastic bag of belongings. We welcome all with dignity and respect. We say, “Your current situation is not your conclusion. Change begins here. We expect great things.”
At Margaret’s Village, residents experience safe harbor, empathy, and community. With their basic needs met, they can "exhale" and begin the process of making positive change in their lives.  A case manager takes a personal history of each new resident to examine and address root causes and traumas that led them to us. The resident and case manager meet regularly, creating a trusted relationship where it is safe to air difficult personal issues—sometimes for the first time. Together they create a personalized, strengths-based plan forward. The plan addresses obstacles and sets goals for employment, housing, education, job-training, and life-skills and enrichment programs, along with referrals to wellness, social, financial management, and legal services as needed. 
With the plan in place, the resident takes the lead, while the case manager follows up regularly with the resident and partner agencies to assess progress. If progress is stalled, the case manager helps the resident uncover impediments, and the plan is adjusted as needed to provide additional helpful resources. With each small victory, the resident gains confidence and moves toward holistic stability and progress.
All residents have access to health screenings and referrals at our onsite clinics run by the UChicago Pritzker School of Medicine and Heartland Alliance Health, as well as mental/behavioral health services and referrals provided onsite by the UChicago medical school.
Following is a sampling of our many partner organizations to whom we refer residents for services: Iman Health Clinic, SGA Youth and Family Services, Legal Aid Foundation, Heartland Alliance Health, local City Colleges, Cara, Goodwill, Jane Addams Resource Corp, Chicago Coalition for the Homeless, Teamwork Englewood, and more. Other partners and volunteers provide enrichment such as tutoring for school-age residents, art and music therapy, yoga, and parenting classes. We serve three fresh-cooked meals daily. Our warm environment offers an onsite computer lab, health and wellness seminars, musical events, holiday parties, and more.
All staff, from cooks to case managers, are trained in trauma-informed-care to foster a regenerative environment and trusted relationships. Our leadership – 100% African American – and our staff are of the community we serve. Some have experienced homelessness themselves, giving them a keen understanding of our residents’ lived experience.
We maintain an updated job board with instructions on how to apply. We assist with the application process and provide interview coaching. If a resident is unable to work for any reason, we help them access benefits such as Medicare, social security, and food assistance, which helps them qualify for housing that requires some form of income (not necessarily from employment).
We refer residents to independent housing agencies. We help negotiate rents. We might suggest to residents to become roommates if we see they have a good relationship. Some wish to stay local; others want a fresh--and more affordable--start elsewhere. We can help find housing in and around the Chicago area, downstate, and out of state. We research the new locale and apprise our resident(s) of local resources. When ready to move on, we provide basic household items and connect them with an organization that provides donated furniture in excellent condition.
After a resident has left us, we formally track them for six months. They know we are always available to help them remain independent in any way we can. Former residents often visit or call for assistance, to talk, or to provide support to current residents. Some even return years later just to say thank you.
Thank you to Knight Impact Partners for your consideration of Margaret’s Village. We would be delighted to welcome you for a site visit, to show you the home base from which our residents launch brighter tomorrows.</t>
  </si>
  <si>
    <t>$50,000</t>
  </si>
  <si>
    <t>ORGANIZATIONAL PERFORMANCE
Our performance is tracked and evaluated in several ways:
•	Performance metrics are logged via the national Homeless Management Information System (HMIS) database and tracked by the Department of Housing and Urban Development (HUD).
•	We work with All Chicago to keep our data up to date. They serve as our central monitoring agent.
•	The City of Chicago reviews our data and submits inquiries to ensure we meet expectations.
•	We undergo an annual external financial audit.
•	Our executive leaders evaluate our data and use it to set goals.
•	We maintain satisfaction surveys and exit interview surveys.
•	Case managers follow up on a regular basis with residents and agencies to gauge progress and adjust plans as needed.
During FY24 at Margaret’s Village, we:
•	Sheltered 388 individuals. 60% of those transitioned to permanent housing. (During FY24, at the City’s request, we sheltered a larger than usual proportion of individuals with more serious mental health issues.)
•	Provided 33,864 individual nights of shelter.
•	Served 109,988 meals.
Our primary objective is to help our residents transition to permanent housing. Many smaller goals serve our primary objective, such as the following, all of which were met during the last fiscal year:
•	100% of residents will have access to health assessments and any necessary prescriptions and referrals at our onsite clinics run by UChicago Pritzker School of Medicine and Heartland Alliance Health.
•	100% of children with parental permission will be up to date on immunizations.
•	100% of school age children will have our support for school enrollment and attendance.
•	100% of adult residents will meet with a case manager. Those who remain 3+ weeks will meet weekly and develop a holistic, personalized plan forward.
•	At least 70% of residents will participate in weekly meetings.
•	At least 75% of adult residents able to work will access training, education, and/or employment programs onsite or offsite, to help secure employment.
•	At least 70% of adult residents who complete the program will secure an income source before they leave.
•	At least 75% of residents who complete an exit survey will rate the shelter and staff good or excellent.
A qualitative measure of success is reflected in the relationships we have with former residents. They often call or visit—whether to get assistance (such as help to update a resume, find a new job, get support during a crisis, resolve a legal or practical issue, etc.), to offer support to current residents, or just to talk. They do this because of the mutual caring and trust developed during their stay. They know that even after they have moved on to permanent housing, they are not in this alone--we are always here to help them remain independent in any way we can.
MENTAL/BEHAVIORAL WELLNESS
UChicago Pritzker School of Medicine runs an onsite mental/behavioral health clinic staffed by medical students, offering screenings, counseling, referrals, and prescriptions. We present the clinic’s services to our residents in a de-stigmatized way, and observe what offerings are best received, such as workshops and presentations about behavioral wellness.  We have seen that a given behavioral health topic might resonate when the interpersonal patterns under discussion echo a resident’s own experiences. This can serve as motivation to inquire further about the topic and seek support through the clinic. Thus, our fourth-quarter 2024 planning with clinic staff focused on offering more workshops. Topics in which our residents expressed particular interest include adolescent behavior, autism, and general parenting workshops to provide practical guidance and referrals.
DIRECT SERVICE OBSERVATIONS
The hands-on observations of our program manager and case managers continue to inform decisions for connecting with new resources and enhancing the services we offer. During our last fiscal year, two organizations were added to our extensive list of partners to whom residents can be referred:  1) Iman Health Clinic, for family-, individual-, drug and alcohol-, relationship-, and couples-counseling; parent education and training; and conflict resolution, and 2) SGA Youth and Family Services, for support with vocational development, early childhood education, and parenting education.
DEVELOPMENT ACTIVITIES
Our Board and our Resource Development Committee review results around development activities. During the months leading up to our 50th Anniversary Gala, we assessed the potential to strengthen our donor relationships and enlarge our donor network. We successfully increased our outreach, and exceeded our Fall Gala $500,000 fundraising goal. We also exceeded our goal of 250 guests, hosting over 300.</t>
  </si>
  <si>
    <t>ANGELA HICKS, EXECUTIVE DIRECTOR
Angela Hicks joined Margaret’s Village in 2001 as Director of Maria Shelter. She has served as Executive Director since 2007. Angela came to Margaret’s Village from Hull House where she was Director of Support and Business Services for Hull House's Independent Living Program. In that role, she managed staff and was responsible for operations, contracts, and certifications in the Child Care Division.
As Director of our Maria Shelter, which serves women and children, Angela was responsible for all aspects of operations, including programming, facility management and financial reporting and budgeting. In addition, she was active in local and statewide advocacy on homeless issues. In 2007, Angela was promoted to Executive Director of Margaret’s Village.  In 2012, due to her exemplary success, the City of Chicago asked Margaret’s Village to assume operations of a second facility, Believe Shelter in South Chicago, which serves families that may include adult men. Our Believe Shelter program demonstrates both Angela's and Margaret’s Village's commitment to growth and change in response to community needs.
Angela participates in seminars and workshops for Executive Directors, including an intensive boot camp training sponsored by the Axelson Center for Non-Profit Management. She has been named "Advocate of the Year" by the Partnership to End Homelessness and was a participant in the City's Plan to End Homelessness 2.0. She continues to be a leading advocate on homeless issues, serving on various committees and collaborations with the City, in the community, and with the Alliance to End Homelessness.
MICHAL MUHAMMAD, DEVELOPMENT DIRECTOR
Michal Muhammad joined Margaret’s Village as Development Director in 2022 to oversee fundraising and capacity development. His early experience in social service began with helping disadvantaged youth, families, and adults in grass-roots organizations on Chicago’s South Side, working within the Chicago Public Schools. At the Chicago Urban League, Michal went on to help build one of the largest fatherhood programs in the state of Illinois. He has never forgotten the challenges faced by disadvantaged communities that he experienced in his early roots. As a small-business owner, multi-media producer and certified life-coach, he also understands and is proficient in helping others navigate the challenges facing both non-profits and small-businesses. Michal is passionate about personal development and is inspired by opportunities to help people solve problems and eliminate barriers to personal and professional growth.
GWEN FOWLER, DIRECTOR OF SHELTER PROGRAMS
Gwen Fowler joined Margaret’s Village in 2002 and currently serves as Director of Shelter Programs. She oversees day-to-day program operations, takes part in strategic and long-range planning, and provides administrative supervision of staff.
Gwen holds an MA in Clinical Psychology from the University of Illinois. Her extensive background in Social Services includes administrative experience and direct service delivery. Gwen has served as a clinical consultant and trainer for a variety of human service agencies in Chicago including the Illinois Department of Children and Family Services, Jane Addams Hull House, and the Bobby E. Wright Comprehensive Behavioral Health Center. She has served as a program director at Mount Sinai Hospital and Medical Center, Bethel New Life Social Services, Youth at Risk Organization, and the Salvation Army.
Gwen has developed programs and systems to enhance the effectiveness of services provided to community members in need. She has expertise in wraparound services and served as Wraparound Specialist for the Independent Living Program working with young adults during her tenure with Jane Addams Hull House.
MICHELE TOOLES, FINANCE DIRECTOR
Michele Tooles, Finance Director, joined Margaret’s Village in 2015. Previously, Michele managed the office of the Clifton R. Rogers &amp; Associates accounting firm for over 10 years. Michele has a part-time bookkeeping practice assisting CPA firms and nonprofits. She is an online certified QuickBooks Pro-Advisor, a member of the American Institute of Professional Bookkeepers, and a member of the National Association of Professional Women.</t>
  </si>
  <si>
    <t>ENGAGING OUR RESIDENT COMMUNITY
Margaret’s Village is our residents’ home, albeit temporarily, and is necessarily influenced by their voices. Weekly resident meetings provide a formal forum to share feedback, air issues, and generate programming, event, and meal ideas. Teams of residents also take weekly turns planning and preparing breakfasts at Maria Shelter, an uplifting experience of teamwork and service. Resident input not only enhances our programming—it also provides an opportunity for residents to exercise agency and initiative on the road towards self-sufficiency and independent living.
ENGAGING OUR COMMUNITY AT LARGE
We enjoy a warm relationship with our neighborhood at large. Executive Director Angela Hicks grew up in Englewood. She is devoted to reaching out to the community and envisions Margaret’s Village as a beacon of community hope, strength, and pride. She creates opportunities to convey confidence in the vitality and future of the neighborhood.
•	At our Vincennes Senior Center, we provide companionship, activities, educational opportunities, and nutritious meals to local seniors who otherwise face loneliness and food insecurity. The seniors themselves help design events and programs, such as a fashion show conducted entirely by seniors from beginning to end.  Some also volunteer to watch the children of our residents so that they may go to a job interview or to work.
•	We maintain a summertime community garden where we and local neighbors grow and harvest produce.
•	We offer summer activities for children and writing programs for adults, host parties for holidays, and provide a range of enrichment activities whenever possible.
•	A neighborhood team helps plan our annual July Community Health Fair and September Community Peace Fair.  
•	At our Health Fair, locals receive free health screenings and information. Volunteer participants have included the University of Chicago’s Pritzker School of Medicine, University of Chicago Comprehensive Cancer Center, Heartland Alliance, Howard Brown Health, and TCA Health, with offerings such as diabetic screenings, HIV testing, cancer education, glaucoma testing, blood pressure screening, and conversations with clinicians. For fun we add food, musical entertainment, and activities such as face painting for the kids.
•	Our Peace Fair has activities for children and teens to build skills and self-esteem and focus on alternatives to violence. Attractions have included the Jesse White Tumblers, poetry and rap on the themes of peace on the streets, and dancing to R&amp;B music and old favorites performed by the local bands. 
•	We have held neighborhood roundtables attended by neighbors, alderpersons, clergy, and other local leaders, to discuss goals they would like our help with and share concerns and aspirations for our area.
•	Other activities include events such as a Music-and-Mindfulness concert by members of the Chicago Symphony Orchestra, and a Motown-and-More concert performed by a band whose drummer had once been a resident of Margaret’s Village.
•	We cultivate relationships with local businesses and community organizations, who show their support by generously donating items such as handmade baby blankets, holiday meals and gifts, and services. One local beauty academy held a spa day, doing the hair and makeup of six of our women residents free of charge—one of the women had an interview the next day and was offered the job.
•	We have worked closely over the years with our 6th and 10th Ward Alderpersons, and have hosted visits from them as well as from our Illinois State Treasurer Michael Frerichs and US Senator Dick Durbin.</t>
  </si>
  <si>
    <t>Collaboration is intrinsic to our work. As a member of coalitions such as All Chicago, Chicago Coalition for the Homeless, Teamwork Englewood, and the Learning Collaborative—a cohort of a dozen transitional housing providers—Margaret’s Village contributes to the collective efforts of organizations who are addressing challenges, sharing best practices, and advocating for the homeless.
Essential to the success of our programs is our collaboration with a large constellation of partners, onsite and off. A sampling of our partners includes: 
•	UChicago Pritzker School of Medicine and Heartland Alliance Health provide health services and referrals at our shelters’ onsite clinics.
•	UChicago Pritzker School of Medicine provides a mental/behavioral wellness clinic at our Maria Shelter, including counseling and prescription medications if needed.
•	Iman Health Clinic offers Counseling, Parenting Education, and Conflict Resolution.
•	SGA Youth and Family Services offers Workforce Development, and Early Childhood and Parenting Education.
•	Legal Aid Foundation offers a monthly clinic onsite.
•	Our Community Health Fair in July was supported by UChicago Med School, Mission Nutrition, Oak Street Health, Mile Square Health Center, Beloved Covenant Family Wellness’ Center, Teamwork Englewood and additional organizations. It featured vision, blood pressure, and hearing screenings, a smoking cessation clinic, and a nutrition program, as well as face painting, food, and music.
•	Our annual Peace Fair in September featured violence-prevention and community-policing information presented by the Cook County Sheriff's Office and the Chicago Police Department.
•	We refer residents to nearby City Colleges; job training at CARA, Goodwill, and companies like Amazon; and housing agencies like Heartland Alliance, Renaissance Collaborative, and Catholic Charities.
•	Chicago Symphony Fellows conduct onsite music programs.</t>
  </si>
  <si>
    <t>We welcome everyone with open arms—of every age, background, gender, and orientation. Our residents are typically 90% African American, 7% Hispanic, 60% children, and 33% with some degree of mental/behavioral health issues. Many are single mothers. We support residents’ wellness via health screenings and referrals at our onsite clinics run by the UChicago Medical School and Heartland Alliance Health. We offer onsite mental/behavioral counseling. We provide health workshops and sexual education, helping residents become informed participants in their healthcare choices. We support residents’ reproductive choices in any way they choose. Our case managers, one of whom identifies as lesbian, have compiled specific resources for our LGBTQ residents. 
Our Vincennes Senior Center entrance has a wheelchair ramp and is completely accessible inside. At our vintage shelter facilities, some over 100 years old, we can accommodate those with minor mobility issues.
Our leadership — 100% African American — and our staff are of the people we serve.  Many were raised on Chicago’s South or West Side. Some have experienced homelessness and are thus particularly attuned to our residents’ experiences.
We arose out of the struggle for equality and inclusion. We were founded in 1974 as Institute of Women Today by Sister Margaret Traxler—a revered women’s and civil rights activist who marched with MLK in Selma—to promote women’s rights and provide training for incarcerated women. In 1989, our first Maria Shelter resident arrived eight months pregnant, in an era when children typically couldn’t shelter with their mothers. Traxler welcomed mother and baby. To this day, Maria Shelter serves women and children. Our Believe Shelter is a unique haven with private rooms, where families with adult men may remain together during their stay, which helps to mitigate the stress of an already difficult situation.
All are welcome at Margaret’s Village.</t>
  </si>
  <si>
    <t>THE CHALLENGE
In its December 2024 report, Chicago Coalition to End Homelessness estimates that 76,375 Chicagoans experienced homelessness in 2022. This included 31,333 people on the streets or in shelters, and 45,042 people doubling up at other people’s homes. And, since August 2022, 46,000 new migrants arrived in our city, with 5,501 currently residing in migrant shelters. While homelessness in Chicago grows, Chicago does not have enough shelters to meet the needs of the homeless. 
HOLISTIC APPROACH FOR SYSTEMIC IMPACT
Margaret’s Village is devoted to alleviating this crisis. We aim to end the cycle of homelessness for the individuals that we serve. Every individual who enters our doors is a complex system in and of themselves, and every individual’s success results in a positive economic and social impact on the larger systems of family, community, and city.  
Ours is a purposefully comprehensive approach. After arrival at Margaret’s Village, with basic needs met, residents can begin the process of rebuilding and reimagining the future. We partner with each resident to explore and address root causes of the situation that led them to our care. We work with them to tailor a personal plan forward appropriate to their unique life story, helping them reclaim a sense of agency, hope, and renewal. Together with our partner organizations, we help our residents access resources they might not have even known were available to them. We help them address physical and behavioral wellness; connect with legal, financial, educational, vocational, and social services; and attain income and permanent housing. We offer uplifting experiences such as holiday parties, musical performances, and informative seminars.  We ensure that school-aged residents are enrolled in school, and we provide a computer lab for homework as well as volunteer tutoring onsite.  And, every staff member, from cooks to case managers, are trained in trauma informed care, to foster an empathic and regenerative atmosphere. 
Our onsite clinics operated by UChicago Medical School and Heartland Alliance Health help address residents’ medical wellness needs, both physical and mental/behavioral issues. Residents have access to assessments, vaccinations, referrals and prescriptions as needed. This alleviates stress on the city’s urgent care facilities and emergency response system.
The “village” of Margaret’s Village includes our Vincennes Senior Center. Our neighborhood seniors often offer their services to watch residents’ children when their moms must go to an interview or to work. This generational intermingling enhances an overall sense of connection and community.
Our holistic approach promotes a virtuous cycle of forward momentum. Our aim is for residents to attain and maintain what they have often stopped believing was possible: stability, income, permanent housing, and fulfilling lives. We have even had residents go from homelessness to homeownership.  Importantly, we want to help ensure that our residents are well-prepared for the long run. Even after they move on to permanent housing, they know we are always here to help them maintain their independence in any way we can.</t>
  </si>
  <si>
    <t>Our budget for FY25 (July 2024-June 2025) is $2,532,900.00.  We receive funding from government as well as from private foundations, corporations, and individuals. We continually seek to strengthen our relationships with current donors and cultivate new supporters.  In October 2024, we celebrated our 50th Anniversary Gala. By increasing our outreach to current and new donors we surpassed our Gala fundraising goal of $500,000, helping us to increase our year-over-year funding to date.
GOVERNMENT FUNDING
During FY25, Margaret’s Village, like many nonprofits, experienced some uncertainty as to the timing and amount of FY25 government funding. We are pleased to share our FY25 government funding status as of April 22, 2025: 
•	Chicago Dept of Family and Support Services:  Up to $1,045,000 approved, $606,423 received.	
•	Illinois ARPA Grant* (year 4 of four-year grant):  Up to $200,000 approved, $183,964 received
•	Senate Appropriations Grant:  Up to $478,000 approved, all pending
*NOTE:  We are proud that after a clean FY24 audit for our (then) three-year ARPA grant, the state auditor remarked that our finances are in very good order and our bookkeeping is the best she has seen for a nonprofit of our size. We were invited to apply for a fourth year of the ARPA grant, which was awarded.
PRIVATE FUNDING
Some of our top FY25 foundation support as of April 22, 2025 includes:
•	North Shore Exchange  $100,000
•	Reis Family Foundation  $72,000
•	Chicago Community Trust/Edward F. Carry Memorial Fund (year 2 of three-year grant) $60,000
•	CPPS Heritage Mission Fund*   $60,000 (pending)
•	Metallica’s All Within My Hands Foundation*   $40,000
•	W. P. &amp; H. B. White Foundation  $25,000
•	Pulte Family Charitable Foundation  $25,000
•	P.B. &amp; H. Bookey Charitable Foundation  $25,000
*We welcomed CPPS Heritage Mission Fund and Metallica’s All Within My Hands Foundation as two of our new supporters in FY25.</t>
  </si>
  <si>
    <t>1) North Shore Exchange $100,000 
2) Reis Family Foundation $72,000 
3) Chicago Community Trust $60,000 and CPPS Heritage Mission Fund $60,000 (pending in June)</t>
  </si>
  <si>
    <t>1) Chicago Dept of Family and Support Services 
       Up to $1,045,000 approved, $606,423 received ytd
2) Illinois ARPA Grant 
       Up to $200,000 approved, $183,964 received ytd
3) Senate Appropriations Grant 
       Up to $478,000, all pending</t>
  </si>
  <si>
    <t>We serve all ages. Typically, approx 60% of our residents are 0-19 years old, and 40% are 20-65 years old.</t>
  </si>
  <si>
    <t>https://www.jotform.com/uploads/Sol_Flores_sflores/242752736237461/6216675865127933781/Margarets%20Village%20Budget%20FY25.pdf
https://www.jotform.com/uploads/Sol_Flores_sflores/242752736237461/6216675865127933781/Margarets%20Village%20IRS%20501c3%20Letter.pdf
https://www.jotform.com/uploads/Sol_Flores_sflores/242752736237461/6216675865127933781/2024%202025%20Margarets%20Village%20Board.pdf
https://www.jotform.com/uploads/Sol_Flores_sflores/242752736237461/6216675865127933781/Margaret%27s%20Village%20Leadership.pdf
https://www.jotform.com/uploads/Sol_Flores_sflores/242752736237461/6216675865127933781/MV%20FY24%20Statement%20of%20Activity.pdf
https://www.jotform.com/uploads/Sol_Flores_sflores/242752736237461/6216675865127933781/MV%20FY24%20Statement%20of%20Financial%20Position.pdf
https://www.jotform.com/uploads/Sol_Flores_sflores/242752736237461/6216675865127933781/FY%202024%20MV%20990.pdf</t>
  </si>
  <si>
    <t>https://www.jotform.com/uploads/Sol_Flores_sflores/242752736237461/6216675865127933781/MV%202021-2026%20Strategic%20Plan%20Year%205%20Priorities%204-4-25.pdf
https://www.jotform.com/uploads/Sol_Flores_sflores/242752736237461/6216675865127933781/Margarets%20Village%20Recent%20Quarterly%20Newsletters.pdf
https://www.jotform.com/uploads/Sol_Flores_sflores/242752736237461/6216675865127933781/Margarets%20Village%20Audit%20Report%20FY24.pdf</t>
  </si>
  <si>
    <t>57% is public (from government entities).</t>
  </si>
  <si>
    <t>Englewood</t>
  </si>
  <si>
    <t>Apr 25, 2025</t>
  </si>
  <si>
    <t>grants@taskforcechicago.org</t>
  </si>
  <si>
    <t>Task Force Prevention and Community Services</t>
  </si>
  <si>
    <t>36-3733207</t>
  </si>
  <si>
    <t>9 N. Cicero Ave</t>
  </si>
  <si>
    <t>https://www.taskforcechicago.org</t>
  </si>
  <si>
    <t>Devin</t>
  </si>
  <si>
    <t>Hanley</t>
  </si>
  <si>
    <t>Assistant Director of Development</t>
  </si>
  <si>
    <t>(773) 377-5296</t>
  </si>
  <si>
    <t>Christopher</t>
  </si>
  <si>
    <t>Balthazar</t>
  </si>
  <si>
    <t>chris.balthazar@taskforcechicago.org</t>
  </si>
  <si>
    <t>(773) 413-0003</t>
  </si>
  <si>
    <t>The TaskForce Board of Directors currently includes seven members whose identities reflect the communities and populations we serve: 78% of board members identify as people of color, including 56% who identify as Black and 22% as Latinx. Additionally, over 75% of board members identify as LGBTQ+. Information on staff demographics can be found in the attached document.</t>
  </si>
  <si>
    <t>TaskForce Prevention &amp; Community Services is a grassroots organization committed to improving the sexual health and wellbeing of LGBTQ+ youth and families in Chicago by providing a safe space for fellowship, HIV/STI screening and education, and on-site referrals to medical, housing, and other social services. We are dedicated to making a difference by working towards solutions in partnership with our community in order to improve our overall quality of life. While our organization is focused on serving LGBTQ+ youth, our doors are open to all in need of our services. 
Located in the heart of Chicago’s Austin neighborhood, TaskForce serves as an accessible hub for LGBTQ+ youth and families as well as all residents across the disinvested West Side. Our culturally competent, gender-affirming programs are designed to meet young people of all identities where they are, offering holistic support in a safe, empowering environment. The following values guide the execution of our mission:
Collaborative: We build relationships, create and sustain partnerships, and develop networks.
Committed: We are unswerving toward our mission, the health of our community, and finding resources to make a difference.
Client Driven: We listen to voices, respond to the needs and direct our work toward impacting the syndemics of our community.
Proactive: We look ahead, watch the trends, and engage in the research to be on the leading edge.
Youth Empowered: We integrate youth in all our work, provide peer to peer guidance and support, and mentor role models for the future.
Culturally Responsive: We enhance our knowledge, actions, and interventions to address the needs of our community.</t>
  </si>
  <si>
    <t>Founded in 1990, TaskForce Prevention &amp; Community Services (TaskForce) is a grassroots, community-based organization dedicated to enhancing the sexual health and well-being of LGBTQ+ youth of color in Chicago by providing a culturally responsive, community-centered model of care. Our programs are headquartered  in the Austin neighborhood at the center of the surrounding West Side communities, where rates of HIV, poverty, and health disparities remain among the highest in the city. ​The Austin neighborhood is a predominantly low-income area with a population of approximately 100,000 residents. The community is 72.8% Black and 19.4% Hispanic, with a median household income of $40,086—significantly below the citywide average of $75,134. Access to essential services is limited and food insecurity remains a challenge, with many residents relying on suburban grocery stores that are not often stocked with fresh produce and nutrient-dense foods. To address these disparities, our drop-in service model provides a comprehensive, one-stop hub where young people can access high-quality, affirming care and access to essential services in a safe, supportive environment.
Many LGBTQ+ youth of color face systemic challenges when accessing health services, including discrimination, financial barriers, lack of transportation, and distrust of medical providers. In March 2022, NPR reported on a Williams Institute study estimating that more than 54,000 transgender youth ages 13-17 were at risk of losing access to gender-affirming medical care due to legislation introduced in 15 states (not including the state of Illinois). These laws aimed to restrict treatments such as hormone therapy and puberty blockers, despite support from medical professionals and families. Some measures proposed criminal penalties for healthcare providers and parents, and others allowed private citizens to sue providers who violated these laws. In our present climate, these measures have expanded to threaten non-medical support for LGBTQ+ youth, including access to mental health services and inclusive practices in public spaces like schools and other institutions youth frequent every day. 
According to The Trevor Project's 2024 U.S. National Survey on the Mental Health of LGBTQ+ Young People, 39% of LGBTQ+ young people seriously considered attempting suicide in the past year, with nearly half of transgender and nonbinary youth facing similar challenges. LGBTQ+ youth of color reported even higher rates, with Native and Indigenous youth nearly twice as likely to attempt suicide. The survey also found that 50% of LGBTQ+ young people who wanted mental health care in the past year were not able to get it, often due to financial barriers, fear of discussing concerns, and lack of transportation. Further, The Trevor Project's research highlights that Black (62%), Latinx (62%), and Asian American/Pacific Islander (60%) LGBTQ+ youth reported higher levels of unmet mental health care needs compared to their White peers (53%). Barriers to care included inability to afford services (53%), concerns about not having their LGBTQ+ identity understood (20%), and lack of LGBTQ+-affirming providers (11%) .
These findings underscore the compounded challenges faced by LGBTQ+ youth of color in accessing necessary health services, and the role of systemic barriers such as discrimination, financial constraints, and lack of culturally competent care that significantly impact their well-being. TaskForce addresses these issues by offering free, onsite medical services and wraparound programs regardless of ability to pay or citizenship status. By creating a safe and affirming space where LGBTQ+ youth and West Side residents can receive healthcare without fear of stigma or discrimination, we ensure that young people can access care consistently and without judgment. Our flexible service models, including evening drop-in hours and telehealth options, accommodate varying schedules and needs, while our integrated services address multiple aspects of well-being, from health and mental health to basic needs, workforce development, and advocacy.
PROGRAMMING 
TaskForce’s approach is rooted in evidence-based and community-driven strategies.Our work is informed by Trauma Informed Care best practices to create safe and supportive environments for our patients and staff, while remaining responsive to the specific needs of our participants. Core programs and services available at our weekly drop-ins include: 
Preventive Health and Wellness: We provide onsite preventive health services, including general medical referrals and access to hormone replacement therapy (HRT) for transgender and gender-nonconforming individuals. In partnership with Rush University Medical Center, we offer free vaccinations for COVID-19, flu, and mpox for all individuals with need. Having a designated LGBTQ+ affirming medical provider onsite allows for continuity of care, building trust between providers and participants while ensuring young people receive holistic, ongoing support. TaskForce staff also help participants navigate insurance, treatment adherence, and health education, further reinforcing access and retention in medical care.
Sexual Health and Wellness: HIV prevention is a critical component of our work, as LGBTQ+ communities of color remain disproportionately impacted by the epidemic. TaskForce provides rapid and lab-based HIV/STI testing, Ryan White case management–a federally funded program that provides comprehensive support services, including medical care coordination, housing assistance, and access to HIV medications—for people living with HIV to improve health outcomes and quality of life, and PrEP navigation to support youth in obtaining and adhering to this highly effective HIV prevention treatment. Our approach also includes insurance and benefits assistance, ensuring that individuals can access and maintain their healthcare coverage. As a key partner in the Getting to Zero Illinois initiative, TaskForce is actively working to eliminate new HIV infections by 2030. Our prevention efforts include the implementation of Mpowerment, a CDC-approved intervention that promotes safer sex and peer-led education, as well as PrEP4Teens, a social marketing campaign in collaboration with Northwestern University that engages LGBTQ+ adolescents in developing youth-centered messaging about HIV prevention. Additionally, TaskForce conducts outreach in Chicago Public Schools, ensuring students receive accurate and affirming sexual health education.
Mental Health: Our Mental Health services also remain a critical area of focus, as many LGBTQ+ youth experience high rates of depression, anxiety, and PTSD due to systemic discrimination, family rejection, and unstable housing. To address these needs, TaskForce has engaged Rush Medical and BUILD Chicago as referral partners for onsite and telehealth counseling. Our Healing Arts program provides alternative mental health support through expressive therapies such as painting, dance, and yoga. Additionally, our Mental Health First Aid training for teens equips young people with tools to recognize and address mental health crises among their peers. By integrating restorative and trauma-informed mental health services into our drop-in and traveling treatment model, we provide accessible, affirming care that meets the unique needs of LGBTQ+ youth.
Gender-Based Violence Prevention: An extension of Mental Health programs, TaskForce recognizes that LGBTQ+ youth of color, particularly transgender women, experience disproportionately high rates of gender-based violence. A​ 2024 study by Halliwell et al., titled Characterizing the Prevalence and Perpetrators of Documented Fatal Violence Against Black Transgender Women in the United States, published in the journal Violence Against Women in October 2024, found that Black transgender women accounted for 78.6% of all transgender women murdered between 2013 and 2021, with gun violence being the leading cause of death. These victims were significantly younger than non-Black individuals, with a median age of 28 years. The TaskForce gender-based violence (GBV) program provides case management for survivors of violence and sex trafficking. We are also developing a curriculum in partnership with therapists to raise awareness about GBV and increase access to support groups. At its core, the program is designed to provide safe, affirming spaces and comprehensive GBV support. We interviewed youth ages 13–24 to understand their experiences with GBV and created eligibility criteria to ensure appropriate support is offered. Survivors enrolled in the program receive case management that includes access to mental health care, food, clothing, workforce development, and other enrichment services. Sabrina Frye, our staff trauma-informed care specialist with extensive training in de-escalation, supports participants in accessing TaskForce’s services, tracks their engagement, and helps them build meaningful connections within our programs. In addition to these direct services, we host mental health first aid sessions to help young people recognize signs of psychological distress and substance abuse, normalize conversations about mental wellness, and connect them to resources. We also offer safe social engagement opportunities—like movie nights and book clubs—to foster community and healing among survivors. Our civic engagement curriculum empowers young people and survivors to become advocates in their communities, reducing the long-term impacts of GBV and creating pathways for survivor-led change.
Essential Services: Recognizing that food insecurity, unstable housing, and legal barriers significantly impact health outcomes, TaskForce also provides Essential Services. Our onsite clothing closet ensures that youth have access to gender-affirming clothing options, while our legal clinic, in partnership with Chicago House (an organization that provides housing, health, and employment support to individuals impacted by HIV/AIDS as well as LGBTQ+ communities) offers assistance with name changes, record expungement, and other legal matters. The TaskForce Food Pantry addresses food apartheid in the Austin community and enhances food insecurity among 2,100 families with more than 700 LGBTQ+ youth of color. The food pantry is conveniently open from 3:00 PM-9:00 PM twice per week at TaskForce headquarters, located in the heart of the Austin neighborhood, a community that lacks accessible, nutritious food options. TaskForce sources donations of fresh produce and nonperishable food items from partners such as Trader Joe’s, the Pilsen Food Pantry, and several others. In 2025, we are expanding our offerings by becoming a member of the Greater Chicago Food Depository distribution network, which will provide an additional 240 hot meals to our community monthly. As we expand our partnerships to source even more food items, we expect to serve 2,300 families by the end of 2025–a 10% increase over 2,100 families in 2024.  
The Vogue School: Our in-house Vogue School and off-site Vogue programming in Chicago Public Schools serves as an important entry point for attendees to access additional TaskForce health and wellness services. The TaskForce Vogue School teaches LGBTQ+ youth and young adults of color the movement fundamentals of Vogue dance while cultivating a safe and inclusive space for artistic expression. Voguing, a club dance style with movement vocabulary inspired by modeling poses, originated in Harlem among Black and Latinx LGBTQ+ communities in the 1960s, eventually making its way to Chicago where a vibrant Vogue community has since flourished in the city. 
Since 1990, LGBTQ+ youth of color and surrounding community members have turned to TaskForce and The Vogue School for ongoing support, recognizing it as a safe space where they can authentically express themselves alongside others who share and celebrate their identities. Every Monday and Wednesday evening, Vogue School students can utilize our full suite of drop-in services to meet their basic needs, including access to a warm meal, personal hygiene products, and gender-affirming clothing. Vogue School attendees can also address high-level needs via TaskForce’s health and wellness services. On average, the Vogue School attracts 35 attendees per class (70 individuals per week). Our touring Vogue workshops extend this mission by bringing our safe space and community-building initiatives to schools and students across South and West Side neighborhoods. TaskForce currently collaborates with seven elementary schools and high schools on Chicago’s West side to meet youth where they are with site-specific Vogue workshops and balls. By eliminating geographic and transportation barriers to entry, these workshops ensure that vulnerable youth across the city also have access to the empowering experience of Vogue dance and the supportive environment that TaskForce fosters. Our contracts with CPS also serve a dual purpose of introducing youth to the Vogue School at TaskForce as an entry point to engaging in our other health and wellness services.  
Workforce Development and Advocacy: Our professional development program provides employment readiness training, including résumé preparation, job searching, and interview skills, while also offering training for local businesses and city colleges on creating inclusive work environments for LGBTQ+ individuals and other vulnerable youth. Our advocacy efforts, in partnership with Equality Illinois, the state's oldest and largest LGBTQ+ advocacy organization, focus on engaging policymakers to push for LGBTQ+ inclusive policies and hosting community events such as the Unpacking Poverty World Café, which convened stakeholders to discuss systemic barriers and action steps toward community-led solutions.</t>
  </si>
  <si>
    <t>We measure success through a combination of quantitative data tracking and qualitative feedback in a way that truly reflects the lived experiences and evolving needs of LGBTQ+ youth of color. These metrics allow us to stay aligned with our mission—to improve the sexual health and overall well-being of our community—while continuously refining our approach to be as affirming, responsive, and impactful as possible.
Quantitative Metrics: Tracking Participation, Outcomes, and Reach
We utilize HIPAA-compliant data tools to monitor and assess longitudinal outcomes across our core service areas. Key quantitative indicators include:
Health Access and Retention
-Number of youth accessing medical care (e.g., HRT, vaccinations, STI/HIV testing)
-Retention in care over 6- and 12-month intervals
-Number of youth connected to PrEP and rates of adherence
-Mental health visits (onsite and telehealth) and engagement rates
Program Utilization and Engagement
-Attendance at drop-in services, workshops (e.g., Vogue School, GBV groups), and outreach events
-Participation in case management and legal support services
-Number of meals distributed through the food pantry
-Referrals completed for housing, legal aid, education, or job training
Community Education and Prevention Impact
-Reach of campaigns like PrEP4Teens (e.g., impressions, shares, engagement rates)
-Number of youth and schools reached via CPS partnerships and outreach efforts
-Number of youth completing Mental Health First Aid training
These metrics help us monitor not only service delivery but also the continuity and depth of engagement—essential factors for measuring true impact among youth who often experience systemic instability and mistrust of institutions.
Qualitative Metrics: Centering Youth Voice and Experience
Quantitative data alone doesn’t capture the full scope of our impact, especially given the trauma, stigma, and marginalization many of our participants face. That’s why we also place high value on qualitative indicators, such as:
-Youth feedback and testimonials collected through anonymous surveys, focus groups, and one-on-one interviews
-Narrative evaluations of emotional, mental, and social growth shared by program participants and peer leaders
-Participant-led evaluations as part of our collaboration with Northwestern University’s EDIT Program, where youth are co-creators in shaping how success is defined and measured
These insights allow us to understand how our programs foster belonging, empowerment, and healing—core values that quantitative tools often miss.
Alignment with Organizational Goals
Our evaluation strategy is grounded in our goal to support LGBTQ+ youth of color in navigating systemic challenges while building community and wellness. Metrics focused on access, retention, empowerment, and well-being allow us to track progress on both individual and community-wide levels. By embedding participant feedback into every stage of evaluation, we ensure our work remains community-driven, culturally responsive, and adaptable to the evolving needs of the youth and families we serve.
Milestones and Progress Tracking
We identify and track key milestones across programs, including:
-Launch of the expanded food pantry program in partnership with the Greater Chicago Food Depository (target: 240+ hot meals/month)
-Implementation of a comprehensive, empowerment-based evaluation model with Northwestern’s EDIT Program (target: pilot model by Q4 2025)
-10% increase in youth engaged in HIV prevention services, including PrEP navigation and Mpowerment outreach
-Increased referrals and follow-ups for trauma-informed counseling and mental health care
-Completion of the GBV prevention curriculum development and pilot testing with survivors and peer leaders
Progress toward these milestones is reviewed quarterly through internal program audits, partner check-ins, and youth advisory feedback sessions. By integrating robust quantitative tracking with meaningful, youth-led qualitative evaluation, TaskForce ensures that we’re not just counting services—we’re measuring impact in ways that honor identity, dignity, and agency. These metrics hold us accountable to the community we serve and fuel the continuous evolution of our work.</t>
  </si>
  <si>
    <t>DeMario Adams, Director of Outreach (he/him)
DeMario Adams is a Chicago native and an alumnus of Dunbar Vocational High School, Harold Washington College, and the Chicago School of Phlebotomy. He is the Director of Outreach &amp; Community Engagement and has been at TaskForce for 7 years. Prior to his time at TaskForce, DeMario worked for Cook County Health Austin Clinic as a Health Navigator. He has been a certified HIV tester and STI counselor for 20 years; is a nationally certified phlebotomist; and is currently the Mental Health First Aid Instructor for the Chicagoland area. DeMario is the ICONIC Overall Father of the House of Khan in Chicago’s ballroom scene.
Christopher Balthazar, Executive Director (he/him)
Christopher Balthazar, PhD has served as the Executive Director at TaskForce since 2019. He holds a doctoral degree in Community Psychology from National Louis University and a Master’s degree in clinical psychology and school counseling from Roosevelt University in Chicago. Prior to his leadership role at TaskForce, he worked as a Research Project Director at Stroger Hospital (Cook County Health) for over 10 years conducting critical HIV prevention and treatment research among LGBTQ+ youth of Color.
Paulo Colby, Director of Operations (he/him)
Paulo Colby is a strategic leader dedicated to enhancing the well-being of communities through innovative organizational development and operational excellence. With nearly a decade of experience, Paulo has honed his expertise in creating and managing programs that empower teams to address the social determinants of health on a broad scale. In his current role as Director of Operations, Paulo is instrumental in building robust organizational structures that support the mission of his organization. He collaborates closely with leadership to develop and implement strategic initiatives that enable employees to effectively address the diverse needs of the communities they serve. His work ensures that the organization remains agile, impactful, and responsive to the evolving challenges of community well-being.
Devin Hanley, Assistant Director of Development (he/him)
Devin Hanley manages TaskForce’s private foundation portfolio and assists with building out Development functions. He brings six years of Development experience to the organization, including in grants management, individual giving, communications and marketing, and event support. Devin has a passion for social justice, LGBTQ+ issues, and addressing the social determinants of health and has had the privilege of working with other social service organizations in the past. He earned his Bachelor of Arts in Gender &amp; Women’s Studies from Knox College.
Reyna Ortiz, Program Director (she/her)
Reyna Ortiz is an advocate, activist, and author fighting for the rights of Black/Brown trans and gender nonconforming communities. Reyna is passionate about educating and enlightening society on the realities of her beautiful and resourceful community. She works hands-on with her community, providing vital resources, social support, dismantling transphobic laws and has dedicated herself to building and working with her trans/GNC communities.
Hannah Pewee, Associate Director of Development (she/her)
Hannah Pewee is a strategic communications leader with over five years of experience in the nonprofit sector, specializing in content strategy, brand storytelling, and data-driven outreach that centers LGBTQ+ communities and promotes racial equity. She holds a Bachelor of Arts in Writing and Studio Art from Grand Valley State University, blending strong narrative skills with a keen eye for visual design. Hannah has led high-impact campaigns across social, email, and web platforms, mentored emerging professionals, and shaped messaging that drives engagement and community connection. Passionate about advocacy and equity, she uses communications as a tool for visibility, healing, and systemic change, approaching each project with creativity, intention, and collaboration.
The team at Task Force Prevention and Community Services combines deep community ties with professional expertise in public health, operations, development, and advocacy. Their collective experience—spanning HIV prevention, mental health, LGBTQ+ outreach, and organizational leadership—ensures culturally responsive, evidence-based programming. Rooted in the communities they serve, the team’s leadership and lived experience drive TaskForce’s effectiveness, impact, and sustained commitment to health equity and social justice.</t>
  </si>
  <si>
    <t>TaskForce proudly collaborates with several key partners whose expertise and resources are integral to delivering high-impact, comprehensive care to our program participants and patients. These partnerships significantly enhance the reach, quality, and sustainability of our work, ensuring youth and families receive wraparound support in a culturally responsive, affirming environment.
Rush University Medical Center
Rush is a vital partner in both our Preventive Health and Wellness and Mental Health programming. Their dedicated LGBTQ+-affirming medical team provides onsite clinical care, including general health services, vaccinations for COVID-19, flu, and mpox, and access to hormone replacement therapy (HRT) for transgender and gender-nonconforming youth. The presence of Rush clinicians fosters continuity of care and trust between providers and participants. Additionally, Rush supports telehealth counseling and collaborates with us to offer mental health support during drop-ins, expanding youth access to qualified mental health professionals and addressing trauma through both clinical and holistic approaches.
BUILD Chicago
As part of our Mental Health outreach, BUILD Chicago operates a mobile counseling van that expands access to therapy beyond our physical site. This collaboration is especially impactful for youth who face transportation barriers or are not yet ready to access care in a formal setting. BUILD’s trauma-informed counselors provide on-the-ground support in trusted community spaces, helping us bring mental health services directly to where youth live, gather, and feel safe.
Northwestern University
In partnership with Northwestern University, we co-developed PrEP4Teens, a youth-centered social marketing campaign that promotes HIV prevention through PrEP (pre-exposure prophylaxis). Northwestern’s public health and communications expertise strengthens our outreach strategy and ensures messaging is evidence-based, accessible, and authentically reflects the voices of LGBTQ+ youth. This collaboration allows us to not only engage teens more effectively but also measure impact and adjust strategies based on real-time feedback and research insights.
Chicago Public Schools (CPS)
Through our ongoing relationship with CPS, TaskForce provides Vogue dance workshops and affirming sexual health education across seven schools on the West and South Sides. These site-based workshops help eliminate geographic and transportation barriers while serving as an entry point for students to access our broader health and wellness services. CPS educators and administrators play a key role in connecting us with students who may benefit most from our programs and ensuring our curricula align with youth needs.
Chicago House
Chicago House partners with TaskForce to offer legal support through our onsite legal clinic. Their legal advocates assist youth with name and gender marker changes, record expungements, and other documentation challenges—crucial services for transgender and gender-expansive youth navigating bureaucratic systems. Their presence enhances our Essential Services offerings by removing legal barriers that often obstruct access to employment, education, and housing.
Greater Chicago Food Depository, Trader Joe’s, and the Pilsen Food Pantry
These partners support our Food Pantry and help combat food insecurity in Austin by donating fresh produce, nonperishable goods, and prepared meals. Our new membership in the Greater Chicago Food Depository’s distribution network enables us to expand our reach, providing an additional 240 hot meals monthly. These collaborations ensure that youth and their families have reliable access to nutritious food, directly addressing a major social determinant of health.
Equality Illinois
In our Advocacy and Workforce Development work, Equality Illinois helps drive legislative and policy initiatives that promote LGBTQ+ inclusion at local and state levels. Together, we host events like the Unpacking Poverty World Café, which bring together community members, service providers, and policymakers to identify structural barriers and co-create solutions. Their advocacy expertise amplifies our youth voices and helps translate lived experiences into policy change.
Each of these partners plays a unique, specialized role that strengthens our ability to serve LGBTQ+ youth of color and families in the Austin neighborhood holistically. By leveraging the strengths of trusted medical institutions, schools, legal advocates, food security networks, and policy organizations, TaskForce builds a network of care that addresses both immediate needs and long-term systemic barriers. These partnerships allow us to not only serve more youth but to serve them better—meeting them where they are and walking with them on their journey toward health, safety, and self-empowerment.</t>
  </si>
  <si>
    <t>At TaskForce, we ensure that our leadership, operations, and programs reflect principles of equity, inclusion, and representation by embedding these values into every aspect of our work. Our board and staff are deeply representative of the communities we serve, with over 75% of the board identifying as LGBTQ+ and 78% of members as people of color, including 56% Black and 22% Latinx. TaskForce employs 19 full-time staff members, 8 of whom are alumni of TaskForce programs, 42% identify as trans or nonbinary, 63% identify as Black, 37% identify as Latino/a/x with the vast majority living in Austin and other West Side neighborhoods. This diversity informs our organizational culture, ensuring that our programs are designed and led by individuals who have lived experiences and expertise in supporting LGBTQ+ youth of color and West side community members.
In terms of programming, we adopt trauma-informed care practices and flexible service models to meet the diverse needs of our youth participants of all identities, regardless of their ability to pay or citizenship status. Our programs, such as the Vogue School, gender-based violence support, and HIV prevention services, create safe, affirming spaces where LGBTQ+ and other vulnerable youth can receive holistic care tailored to their individual experiences. We also prioritize ongoing staff professional development in areas like trauma-informed care and medical assistance to ensure that all interactions are culturally competent and grounded in best practices. By continually integrating community-driven feedback and evidence-based strategies, we maintain a responsive, inclusive environment where every youth feels supported and valued.</t>
  </si>
  <si>
    <t>TaskForce tackles multiple intersecting challenges, including HIV prevention, mental health, gender-based violence, and food insecurity, all within a culturally responsive, safe, and affirming environment. One of the core ways we challenge existing systems is by providing comprehensive, integrated care that directly confronts the disparities faced by LGBTQ+ youth of color, particularly in marginalized communities like Chicago’s Austin neighborhood. Our programs aim to disrupt systemic barriers such as discrimination in healthcare, economic inequality, food insecurity, and lack of accessible mental health resources by integrating healthcare services into a one-stop, drop-in service model,
Flexible and tailored to meet the specific needs of youth, this challenges conventional healthcare and service models by removing barriers to care. Our services—whether in person or via telehealth—are free, confidential, and open to all LGBTQ+ youth of color, regardless of immigration status, insurance coverage, or financial ability. This inclusive and affirming approach directly addresses the mistrust many LGBTQ+ youth feel towards healthcare systems, which is exacerbated by experiences of discrimination and financial barriers.
In terms of systemic impact, TaskForce is not only filling a critical service gap but actively shaping the larger landscape through collaborative initiatives like our involvement with the Getting to Zero Illinois campaign. By working toward eliminating new HIV infections by 2030 and promoting PrEP access, TaskForce is challenging the ongoing HIV epidemic among LGBTQ+ communities, particularly youth of color. We are empowering youth to take charge of their health, offering them the knowledge and resources to make informed decisions about their sexual health, and positioning them as leaders in community advocacy through programs like Mpowerment and PrEP4Teens.
Furthermore, our gender-based violence prevention initiatives, including case management, advocacy, and survivor-led support, directly confront the structural violence faced by transgender and gender-nonconforming youth, especially Black transgender women. By providing a safe, supportive environment where these young people can access critical services like legal assistance, mental health support, and workforce development, we are working to transform not only individual lives but also community-wide norms around gender-based violence and advocacy. TaskForce’s approach also extends beyond traditional service delivery by focusing on building a resilient, empowered community. Our Vogue School and off-site programs use the art of voguing, a dance style rooted in LGBTQ+ communities of color, as a vehicle for self-expression, healing, and connection. These programs foster pride and empowerment while connecting youth to vital health and wellness services, demonstrating that the arts and self-expression are central to addressing the broader social challenges faced by LGBTQ+ youth.
Through these innovative approaches, TaskForce challenges entrenched systems and structures of oppression, creating meaningful, lasting change for LGBTQ+ youth of color and other vulnerable youth in Chicago. Our work is not just about addressing immediate needs but about shifting the systemic frameworks that perpetuate health disparities, violence, and inequity, ensuring a more inclusive and supportive environment for future generations.</t>
  </si>
  <si>
    <t>TaskForce demonstrates strong financial stability supported by diverse and growing funding streams, including foundation support, individual donations, and significant projected revenue from the federal 340B program. With long-term planning to expand into a larger facility in the coming years, we aim to significantly increase the number of community members we are able to serve. We expect 340B revenue will increase from $600,000 in 2025 to over $2.1 million by 2028. Additionally, conservative estimates of $36,000 annually from on-site exams and pharmacy services further strengthen our financial outlook. Strategic financial management and expanded service capacity ensure TaskForce is well-positioned to sustain operations and expand our community reach for long-term impact.</t>
  </si>
  <si>
    <t>Donor Name: ViiV Healthcare
Donor Amount: $634,000.20
Donor Name: Alliance Care 360
Donor Amount: $165,177.44
Donor Name: Howard Brown Health Center
Donor Amount: $158,826.32</t>
  </si>
  <si>
    <t>Donor Name: Illinois Department of Public Health
Donor Amount: $585,045.48
Donor Name: Illinois Department of Human Services
Donor Amount: $476,480.17 
Donor Name: Illinois Department of Human Services Violence Prevention
Donor Amount: $225,000</t>
  </si>
  <si>
    <t>13-29</t>
  </si>
  <si>
    <t>Transgender
Non-binary
Genderqueer</t>
  </si>
  <si>
    <t>https://www.jotform.com/uploads/Sol_Flores_sflores/242752736237461/6214453565439532588/Budget%20Overview%20FY25%20.pdf
https://www.jotform.com/uploads/Sol_Flores_sflores/242752736237461/6214453565439532588/task%20force%20exemption%20letter.pdf
https://www.jotform.com/uploads/Sol_Flores_sflores/242752736237461/6214453565439532588/FY25%20TaskForce%20Board%20List%20.pdf
https://www.jotform.com/uploads/Sol_Flores_sflores/242752736237461/6214453565439532588/Taskforce%20Audited%20Financial%20Statements%2012.31.23%20CYEFR-FINAL_5046.pdf
https://www.jotform.com/uploads/Sol_Flores_sflores/242752736237461/6214453565439532588/TaskForce%20Leadership%20Team%20Bios.pdf</t>
  </si>
  <si>
    <t>https://www.jotform.com/uploads/Sol_Flores_sflores/242752736237461/6214453565439532588/FY25%20TFC%20Staff%20Demograpic%20Information%20-%20Sheet1.pdf
https://www.jotform.com/uploads/Sol_Flores_sflores/242752736237461/6214453565439532588/FY2023%20Annual%20Report.pdf
https://www.jotform.com/uploads/Sol_Flores_sflores/242752736237461/6214453565439532588/TFC%20Press%20.pdf</t>
  </si>
  <si>
    <t>42% public, 58% private</t>
  </si>
  <si>
    <t>grants@centeronhalsted.org</t>
  </si>
  <si>
    <t>Center on Halsted</t>
  </si>
  <si>
    <t>51-0178807</t>
  </si>
  <si>
    <t>3656 N. Halsted Street</t>
  </si>
  <si>
    <t>60613</t>
  </si>
  <si>
    <t>https://www.centeronhalsted.org/</t>
  </si>
  <si>
    <t>Diane</t>
  </si>
  <si>
    <t>Pascal</t>
  </si>
  <si>
    <t>dpascal@centeronhalsted.org</t>
  </si>
  <si>
    <t>773-472-6469 x245</t>
  </si>
  <si>
    <t>Joli</t>
  </si>
  <si>
    <t>jrobinson@centeronhalsted.org</t>
  </si>
  <si>
    <t>773-472-6469 x250</t>
  </si>
  <si>
    <t>1973</t>
  </si>
  <si>
    <t>52</t>
  </si>
  <si>
    <t>342</t>
  </si>
  <si>
    <t>COH’s Board of Directors reflects the diversity of the LGBTQ+ community it serves: 54% identify as female or nonbinary; 54% identify as Black, Asian, or Latine; and 93% identify as LGBTQ+. Under Robinson’s leadership, COH has also launched two additional bodies to enhance representative decision-making: an Auxiliary Board and a Community Advisory Board for our satellite site, Center on Cottage Grove (COCG). The Auxiliary Board is composed of 57% cisgender men, 22% cisgender women, and 17% nonbinary individuals, with racial demographics that include 36% Black, 21% Latine, 34% white, 4% mixed race, 2% Asian, and 23% not specified. All Auxiliary Board members identify as community members. The COCG Community Advisory Board is 94% Black and 6% white, and includes 53% cisgender men, 35% cisgender women, and 24% nonbinary members. These boards ensure that COH’s strategies are informed by lived experience and community priorities.   
Internally, COH’s staff is 50% white/non-Hispanic; 23% Black; 20% Latine/non-white, 5% Asian/Pacific Islander, and 2% Native American. Staff are 40% aged 21-34, 23% aged 35-44, 19% aged 45-54, 9% aged 55-65, and 9% 65+. Approximately 90% of staff are members of the LGBTQ+ community. COH’s leadership team reflects a similar commitment to equity. Of the nine members of the senior leadership team, 89% are people of color and/or members of the LGBTQ+ community.</t>
  </si>
  <si>
    <t>Mission: Center on Halsted advances community and secures the health and well-being of the LGBTQ+ people of Chicagoland and throughout the Midwest.  
Vision: A thriving lesbian, gay, bisexual, transgender and queer community, living powerfully in supportive inclusive environments.</t>
  </si>
  <si>
    <t>GOS</t>
  </si>
  <si>
    <t>Primary Focus 
With the leadership of its new CEO, Joli Robinson, Center on Halsted (COH) is reinforcing its role as a cornerstone of the LGBTQ+ community in Chicagoland, expanding services, fostering new partnerships, and deepening its commitment to equity and inclusion. COH respectfully requests $50,000 in general operating support. Your generous support will contribute to the long-term sustainability of the organization as the organization refocuses on community need and advances strategic initiatives, such as planning an expansion of critical, affirming services for unhoused LGBTQ+ youth, particularly those who are Black, Brown, transgender or nonbinary. We are working to address systemic inequities faced by LGBTQ+ individuals through a holistic approach to human services that fosters health and wellness, financial stability, basic needs, safety, and mental health through an equity lens.   
Target Population  
Center on Halsted serves all LGBTQ+ people and allies in the Chicago area, with a focus on those who are most vulnerable due to age, race, education, HIV status, etc. Disparities for LGBTQ+ communities are present in all the target areas of our programming. LGBTQ+ individuals face higher rates of mental health disorders, substance use disorders, suicide, and sexually transmitted infections (U.S. Department of Health and Human Services, n.d.). The population lacks access to affirming care and faces discrimination and stigma exacerbated by current anti-LGBTQ+ sentiment and politics (Human Rights Campaign, 2023). In the LGBTQ+ South Side Needs Assessment Final Report (June 2021), respondents rated “Assistance with Mental Health Treatment/Counseling” as the number one service need (59.5%), followed by “LGBTQ-specific services” (47.1%), which includes gender-affirming care and culturally competent health care, including mental health services (p.35).  
At the heart of COH's work is our Youth Programs, one of the earliest initiatives to take shape in the modern-day LGBTQ+ movement. Young people are one of the most vulnerable populations. Programs to support LGBTQ+ youth as they seek safety, community, affirmation, and space to understand their own identities have been at the heart of Center on Halsted’s programming since it was started as Gay Horizons in 1973. According to the Trevor Project, 75% of LGBTQ+ young people reported experiencing discrimination due to their sexual or gender identities. LGBTQ+ young people report feeling unsafe at school (59%). They have higher rates of homelessness (120% higher than the non-LGBTQ+ population), suicide attempts (3.5 times as high as non-LGBTQ+ youth). Transgender youth are particularly vulnerable to societal and family rejection and are at greater danger due to public attacks (GLAAD Media Reference Guide, 11th Edition). 
Almost all of Center on Halsted’s youth clients have experienced trauma and are continuously learning ways to manage trauma and facilitate self-care and healthy behaviors. There is often a family history of abuse; homelessness; long-term unemployment linked to anti-LGBTQ+ bias in hiring practices; and/or experiences of interpersonal, sexual, or intimate partner violence. In addition to direct service to youth aged 12-24, COH serves younger children with their families. Many youth clients come to COH with the support of their caregivers; however, the adults accompanying youth frequently feel ill-equipped to address the broad range of behavioral, emotional, and mental health needs their loved ones are experiencing. 
Key Activities: 
By design, as a "one-stop" center, COH meets the multiple needs of its clients. COH provides free to low-cost services to meet the needs of clients across all stages of their lives in LGBTQ+-affirming, safe, and welcoming environments with programs for the entire community. COH programs and services are open to all people regardless of economic standing, gender identity, race, or sexual orientation. Programs support clients’ behavioral, psychological, food, housing, health-related, and social needs: 
Behavioral Health Services, including individualized and group therapy and services for survivors of violence; 
Community and Cultural Programming for people of all ages, including performing arts partnerships; volleyball, pickle ball, and other sports; and social programming; 
Community Technology Center (Cyber Center); 
HIV Resources and Prevention, including testing and Pre-Exposure Prophylaxis (PrEP) outreach; HIV Resource Hub, in collaboration with the AIDS Foundation Chicago; and the State of Illinois HIV Hotline; 
Center on Cottage Grove satellite program site in Woodlawn; 
Pride in Aging and affordable housing for seniors (Center on Addison and Town Hall Apartments); 
Silver Fork (workforce development in culinary arts); 
Youth Programs, including social-emotional programming; and 
Professional development including the Inclusive Futures Leadership Institute and Midwest Pride, a convening of LGBTQ+ professionals. 
As social, behavioral health, and economic disparities intensify—driven by the growing backlash against trans individuals and the broader LGBTQ+ community—we anticipate these challenges will only deepen. In this climate, it is more critical than ever that our programs are created by and for those most vulnerable. In response, our strategic priorities for FY26 include: 
Increasing the reach and quality of operations at COH; its satellite location, Center on Cottage Grove (COCG); and citywide—addressing unmet demand for social services, including a reevaluation of the Youth Housing program to ensure that the program fills a gap in the safety net, is effective, and maximizes resources. 
Deepening the community activation of COH's spaces by reconnecting with organizations that have utilized the Center's spaces and establishing new relationships to benefit clients. In 2025, our nonprofit partners Pride Arts and Lambda Legal’s Midwest regional office both moved their offices to Center on Halsted. At COCG, Life is Work is holding weekly trans drop-ins, and Nourishing Hope is providing a monthly online market. 
Creating increased awareness through visible leadership engagement is part of a marketing and communications strategy utilizing various media, culturally specific messaging, and community-building activities and events for clients, staff, and other external constituents. We are also marketing COH and its programs to LGBTQ+ people moving to Illinois, migrants, and others new to Chicago. 
Providing training, public education and professional development to LGBTQ+ and allied professionals and acting as a convenor of LGBTQ+-serving organizations to provide support and training through events like the Inclusive Futures Leadership Institute, a professional development program for 30 people, and Midwest Pride, a 2.5-day conference to support staff, board members, and volunteers from LGBTQ+-serving organizations regionally.</t>
  </si>
  <si>
    <t>Success is measured by meeting the service delivery and financial goals of the organization. Our evaluation is client-centered and impact oriented, informing program design. Outcomes are measured via satisfaction surveys, distributed either immediately following a program or through an online survey sent after a program. The Chief Executive Officer reviews all data on at least a monthly basis. Data gathered is used to assess progress to date and make any needed program enhancements. COH is seeking financial support for a CRM for use across all programs that will allow us to better track outcomes and demographics and identify clients across service offerings.  
All COH Program directors set program goals yearly, and progress is reviewed monthly at team meetings. Departments routinely collect data to ensure quality service delivery, that programs reach proposed outcomes, that services address disparities and inequities, and that client data and feedback inform program and policy decisions. The evaluation results are regularly shared agency-wide and evaluated in the context of our mission and current strategic plan.   
Program Goals 
Youth Housing 
Exploring youth housing programs and models to identify best practices and assess how these models can be adapted to align with Center on Halsted’s mission and goals. 
Investigating partnerships with other established youth housing programs to increase capacity through collaboration. 
Presenting these recommendations to Center on Halsted’s leadership and Board of Directors. 
Youth Programs  
Deepen engagement and impact on Black and Brown LGBTQ+ youth and their families through increased partnerships on the South and West Sides.  
Offer ongoing, regularly scheduled programming for youth on Chicago’s South and West Sides at COCG. 
Pride in Aging: 
Provide 7,000 units of food assistance annually. Food assistance may include meals to-go, meals consumed on-site, meals delivered, food pantry assistance or a combination thereof.   
Over the next year, provide 5,500 units of social, recreational, and wellness programming. Programming may be offered in-person, virtually, or in a hybrid format.  
All 79 Town Hall residents will have intensive, high-touch case management services available to them. 
Behavioral Health: 
1,400 individuals who contact the COH Behavioral Services Resource Line will be provided with the information (resources/referrals/scheduled appointments) they requested.   
95% of individuals who complete an initial screening and assessment will receive either individual, relationship, or group counseling.   
90% of clients seen for individual therapy for at least five sessions will have treatment plans.   
HIV Prevention and Education: 
COH will develop new testing sites/events in communities with high need through 4 new community partners.   
COH will increase the number of HIV tests provided to residents of South and West Side communities. 
Silver Fork: 
Provide culinary and workforce training to 40 LGBTQ+ individuals and allies annually through four cohorts of ten participants each, promoting career readiness and economic mobility. 
Deliver industry-recognized certifications (BASSET, allergen training, and ServSafe) to ensure participants meet employment eligibility standards in the food and hospitality sector. 
Support job placement and retention by maintaining a job placement rate of at least 55% among program graduates and ensuring that at least 75% of those employed retain their jobs for a minimum of 30 days.</t>
  </si>
  <si>
    <t>Joli Robinson, Chief Executive Officer is an LGTBQ leader with over two decades of leadership in the private, public, and nonprofit sectors; Joli joined Center on Halsted in 2024. Joli has emerged as a trailblazer committed to advancing equity, fostering inclusivity, and driving positive community change. Previously serving as President/CEO of Housing Forward, Joli has led transformative initiatives aimed at advocating for racial equity and elevating the narrative around housing and homelessness across the Dallas region. Under her leadership, the organization was awarded over $23 million in federal funding through a competitive grant process, showcasing her ability to drive impactful change on a significant scale. 
Luke Romesberg, Ph.D., Senior Director of Youth Programming, is a highly accomplished professional with extensive expertise in counseling and program leadership. Holding a Ph.D. in Counselor Education and Supervision, along with a master’s degree in counseling, Luke is a Licensed Professional Counselor (LPC) and a Certified Alcohol and Drug Counselor (CADC). Currently, Dr. Romesberg serves as the Senior Director of Youth and Family Programming at the Center on Halsted, where he has made significant contributions for over three years. In this role, he oversees innovative initiatives aimed at supporting and empowering youth and families, fostering growth, and addressing diverse needs within the community. Dr. Romesberg is also a survivor of conversion therapy, an experience that has profoundly shaped his personal and professional journey. This hardship has fueled his unwavering passion for advocating for mental health, inclusion, and the well-being of marginalized communities. His resilience and dedication to creating safe, affirming spaces are at the heart of his work. With a deep commitment to mental health and wellness, Luke combines clinical expertise with strategic leadership to make a meaningful impact on the lives of those he serves. Reevaluation of Youth Housing is being led by Luke Romesberg and Precious Brady Davis. Luke was hired as Director of Youth Housing in November 2021 and held that role until being promoted to his current role. Precious has significant experience with public sector coalition building and LGBTQ+ youth services. In her current role, she guides the strategic development of programs. 
Precious Brady-Davis, Chief Strategy Officer, began her career in the nonprofit sector at Center on Halsted, where she coordinated youth programming surrounding HIV prevention, transgender advocacy, and LGBTQ leadership development. Precious became the Chief Strategy Officer in 2024. Previously, Precious served as the Assistant Director of Diversity Recruitment Initiatives at Columbia College Chicago and most recently completed a six-year tenure at the Sierra Club. Last summer she was appointed to the Board of Commissioners at the Metropolitan Water Reclamation District of Greater Chicago by Governor JB Pritzker and is the first openly Black Trans Woman appointed to public office in Cook County. 
Jim Klein, Chief Technology and Facilities Officer, is the longest-serving team member at Center on Halsted. Jim joined Center on Halsted, known as Horizons Community Services at the time, in March of 1999. Over the years, Jim assisted in several transformative initiatives for the organization, actively engaged in the growth of a small, grass roots social service agency into Center on Halsted, the Midwest’s largest LGBTQ Community Center. Jim currently oversees operations and technology, adapting to meet the needs of our ever-evolving community. 
Diane Pascal, Chief Development Officer, has more than 25 years of experience as a nonprofit fundraiser and marketing executive. Diane joined Center on Halsted in 2024. Previously, she worked for seven years as Senior Vice President, External Relations at Howard Brown Health. Diane was Vice President of External Relations at the Chicago nonprofit Inspiration Corporation; she has additional experience working with the Chicago Reader, Mercy Housing Lakefront, Feeding America, and University of Chicago’s Crown Family School of Social Work. 
Phillip Prado, Senior Director of HIV-STI Resources &amp; Prevention, is a seasoned public health professional with over 14 years of experience in HIV prevention and care. He holds an advanced degree in public health and has dedicated his career to advancing community health initiatives. In 2024, Phillip joined Center on Halsted as the Senior Director of HIV/STI Resources and Prevention, where he leads strategic efforts to enhance prevention, education, and outreach programs. Prior to this role, Phillip spent eight years at Howard Brown Health, serving as Associate Director of Public Health Initiatives and Manager of HIV/STI Partner Services. Throughout his career, he has been committed to developing and implementing innovative public health strategies that improve access to care and promote health equity.  
Patrick Ryan, Vice President, Learning and Culture, is a Chicago native with a passion for education and nonprofit work and joined Center on Halsted in 2024. With over a decade of experience, including co-founding a charter school in Delaware and serving as Chief of Staff at Outfest in Los Angeles, he brings a desire to work hard and continue learning to Center on Halsted. Patrick is dedicated to advancing COH's mission and initiatives and is eager to positively contribute to the community.  
Reginald Walker, Senior Director of Finance, has more than 10 years of experience in nonprofit financial management, most recently at North Park University. Reginald has held senior roles at Garrett-Evangelical Theological Seminary, Howard &amp; Evanston Community Center, and the Ancona School. Reginald joined Center on Halsted in 2024. 
Nick Roman, Senior Director of Development, has extensive experience in the social services, education, and arts and culture sectors. He started with Center on Halsted in 2023 as Director of Major Gifts and Individual Giving. Prior to COH, he was Senior Manager of Volunteer Boards and Events at Lyric Opera of Chicago and served in multiple roles for over four years. Nick holds an undergraduate degree in music education from Butler University and a master's degree in leadership for Creative Enterprises from Northwestern University. 
The Center on Halsted’s success is grounded in the deep expertise, lived experience, and visionary leadership of its team. Chief Executive Officer Joli Robinson brings over two decades of leadership in nonprofit and public sectors, with a proven track record in equity-driven systems change and securing large-scale federal funding. Her strategic vision ensures that programs are community-centered and sustainably scaled. Chief Strategy Officer Precious Brady-Davis, a nationally recognized LGBTQ+ advocate and public official, strengthens program alignment with community needs through her deep experience in youth programming, coalition building, and advocacy. 
Programmatic excellence is led by subject matter experts such as Dr. Luke Romesberg, a Licensed Professional Counselor and Certified Alcohol and Drug Counselor who oversees Youth and Family Programming. His trauma-informed leadership and personal resilience as a conversion therapy survivor deeply shaped the design of inclusive, affirming youth services. Phillip Prado, Senior Director of HIV/STI Resources and Prevention, brings over 14 years of public health experience and a demonstrated commitment to advancing access to care for underserved communities. 
The leadership team includes professionals with extensive backgrounds in development, finance, operations, and community partnerships—many of whom are former consumers of Center services or members of the LGBTQ+ community. This blend of technical skill, professional expertise, and lived experience ensures culturally competent service delivery and innovative, community-informed solutions. Their collective leadership is essential to achieving the project’s goals, fostering resilience, and advancing equity across the organization’s initiatives.</t>
  </si>
  <si>
    <t>Most Center on Halsted staff are members of the community we serve. Program design is informed by staff members’ lived experience and through conversation and collaboration with community partners. Among other things, we seek to minimize duplication of services and offer novel programming that is responsive to community needs.  
All COH programs offer feedback mechanisms, generally in the form of surveys, which further inform program design. 
In addition to the Board of Directors, COH has several boards that provide community feedback. Youth Programs has a Youth Advisory Board for LGBTQIA+ youth aged 12-18 who want to make a difference in their community. In November 2024, we created a community advisory board to guide program development and community engagement at Center on Cottage Grove, in Woodlawn. In March 2024, we created an Auxiliary Board. Composed of 40 members, the Auxiliary Board supports community engagement and provides feedback on and support for COH activities.</t>
  </si>
  <si>
    <t>Center on Halsted works with a wide variety of program partners. To inform our Youth Housing model, we are in conversation with Mercy Home, La Casa Norte, Ali Forney Center, Lawrence Hall, and Ignite. We have also met with Covenant House. We have been speaking with other housing Youth Program partners include Gary Comer Youth Center, Chicago Public Schools, Lawrence Hall, Howard Brown Health/Broadway Youth Center, and others. Pride in Aging partners include Full Circle Communities, the Center for Disability and Elder Law, School of the Art Institute of Chicago, Chicago Department of Family and Support Services, H.O.M.E., and others. Behavioral Health Partners include Brave Space Alliance, Howard Brown Health, The Network, Gateway Foundation, WINGS, and many others. HIV Resources and Prevention partners include AIDS Foundation Chicago, Howard Brown Health, Nourishing Hope, Steamworks, and others. Silver Fork partners with Levy Enterprises, Chef’s Warehouse, Sysco, Hilton Chicago, 2D Restaurant, and others. 
COH also hosts programming for trans drop-ins for Life is Work at Center on Cottage Grove and Chicago House and Social Service Agency at Center on Halsted in Lakeview. 
In 2025, Pride Arts theater company and Lambda Legal Midwest both moved into Center on Halsted’s flagship building, helping to fulfill our vision of being a home to other LGBTQ+ organizations. Several support groups, recovery groups, two religious congregations, and other community groups use spaces at Center on Halsted and Center on Cottage Grove to serve their stakeholders.</t>
  </si>
  <si>
    <t>Center on Halsted is a catalyst advocating for racial equity for all LGBTQ+ individuals, allies, and their intersectional identities. With our partners we fight racism, bias, and hate. We commit to take intentional action, remain humble, defend equitable policy-making, and seek accountability in the collective effort to foster resilient communities.  
COH is led by Chief Executive Officer, Joli Robinson, a Black lesbian with over two decades of leadership in the private, public, and nonprofit sectors. Joli, who joined COH in January 2024, has emerged as a trailblazer committed to advancing equity, fostering inclusivity, and driving positive community change.   
All employees complete annual training in diversity, equity and inclusion; anti-harassment; and respect in the workplace. In the coming fiscal year, staff will participate in four trainings led by Lighthouse Foundation designed to support the most marginalized employees and board members and will deepen our work to enhance equity. 
COH is proud to be led by a Board of Directors that reflects the diversity of the LGBTQ+ community it serves. With 54% of our Board identifying as female or nonbinary; 54% identifying as Black, Asian, or Latine; and 93% identifying as LGBTQ+, our volunteer leadership is deeply committed to fostering equity, inclusion, and belonging. In addition, under Joli’s leadership, we have started an Auxiliary Board and a Community Advisory Board for Center on Cottage Grove (COCG) to broaden the diversity of voices informing decision making. The Auxiliary Board is 57% cisgender men, 22% cisgender women, 17% nonbinary people, and 4% trans people; in addition, they are 36% Black, 21% Latine, 34% white, 4% mixed race, 2% Asian, and 23% not specified. All Auxiliary Board members identify as community members. The COCG Community Advisory Board is 94% Black and 6% white, 53% cisgender men, 35% cisgender women, and 24% nonbinary.    
Additionally, of the nine members of the senior leadership team, 89% are people of color and/or members of the LGBTQ+ community. This diversity strengthens our ability to serve our community with empathy and understanding, ensuring that our programs and initiatives are guided by a wide range of lived experiences and perspectives.   
COH's mission is to advance community and secure the health and well-being of the LGBTQ+ people of Chicagoland and our vision is a thriving LGBTQ+ community, living powerfully in supportive, inclusive environments. The organization aims to meet clients where they are, increase access for BIPOC and trans communities, and provide platforms for diverse voices. In addition, COH seeks to be a regional convenor of LGBTQ+-serving organizations to increase support and collaboration, secure resources to support and improve the quality of life for LGBTQ+ people and reduce service redundancies.   
In the current year, Joli is requiring all programs to examine which services may be replicated on Chicago’s South and West sides, at COCG, COH's satellite location. The purpose is to increase access to critical, affirming services for LGBTQ+ individuals who are Black, Brown, and from other marginalized backgrounds, and address systemic inequities faced by LGBTQ+ individuals in the community through a holistic approach that fosters health, empowerment, equity, and belonging for our community members.   
Current innovations as a result of this initiative include new programming at COCG, our site in Woodlawn, such as a BIPOC support group run by our Behavioral Health team; HIV/STI testing and counseling services; an online market in partnership with Nourishing Hope; lunch and learns for older adults 55+; afterschool mixers for Gender and Sexuality Alliance (GSA) students in Chicago Public Schools; weekly trans drop-in hours in partnership with Life is Work; events such as a Jazz Brunch and Pride South Side kickoff party; yoga in partnership with a local studio; and space for an LGBTQ+-affirming religious congregation. In addition, we are providing monthly behavioral health services at Brave Space Alliance in Hyde Park and LGBTQ+-affirming youth services at Gary Comer Youth Center in Greater Grand Crossing.</t>
  </si>
  <si>
    <t>Center on Halsted views all programs through a lens of LGBTQ+ equity. We offer human service programs that are open to all people but that center our community. We approach our work with cultural humility and an eye toward continuous improvement.    
COH is the largest LGBTQ+ community center in the Midwest and has led in building the only LGBTQ+-focused senior housing in Illinois. The Behavioral Health team has pioneered an innovative process for providing letters of support for gender-affirming surgery – Trusting Trans People: A New Model for Writing Letters of Support; we train other professionals in this model.  
CEO Joli Robinson has identified several key areas in which Center on Halsted can address unmet needs, lead, and convene. The Inclusive Futures Leadership Institute is a new professional development program for 30 people, meeting monthly for six sessions with focuses on coalition building and various skill-building topics. Midwest Pride is a two-day convening held for the first time earlier this month to support staff, board members, and volunteers from LGBTQ+-serving organizations regionally. Sessions equipped LGBTQ+ leaders with tools for advocacy and civic engagement, shifting the narrative from crisis response to community-driven change.   
Under Joli’s leadership, as we navigate potential cuts to our government funding, we will continue to identify areas of unmet need – often because the need has not been recognized.</t>
  </si>
  <si>
    <t>Center on Halsted’s financial health is supported by its robust fundraising strategy, which incorporates a range of revenue sources, including corporate donors, foundations, government grants, and private donors. With a priority on diversifying revenue, leadership is working to increase financial sustainability through improving our rental and earned revenue models while rebuilding philanthropic relationships. COH is also preparing to evaluate program relevance, effectiveness, and sustainability while also reducing duplication of services that might be offered by peer organizations.  
In FY24, private funding increased 29%, as the organization reinvested in philanthropy and was able to introduce CEO Joli Robinson to the community. The team is on track to increase private funding further in FY25. Although individual giving is tracking approximately 32% ahead of last year and events are 25% ahead, corporate and foundation giving are less certain. Corporate giving is tracking ahead of last year, responding to increased engagement; however, we are already seeing it drop off as corporations are wary about backlash against supporting LGBTQ+ causes, DEI funding is being reduced, and corporate tax rates are expected to be reduced. Foundations have been more difficult to re-engage than anticipated, despite COH’s continued improvements to program performance and outcomes measurements.   
With many of the executive orders we are seeing, we are keeping in mind that as an organization whose mission includes serving and protecting trans people, not only faces cuts for any federal funding that passes through Illinois state agencies to COH, but also that our 501c3 status could be at risk. At this time, we are uncertain how such an event would affect our stability and ongoing services and programs.</t>
  </si>
  <si>
    <t>Anonymous estate gift, $250,000 (current) 
McDonald's Corporation, $218,600 (current and anticipated) 
Alphawood Foundation, $125,000 (current); $140,000 (anticipated) 
JB and MK Pritzker Family Foundation ($175,000 anticipated)</t>
  </si>
  <si>
    <t>Illinois Department of Public Health, Illinois HIV Hotline: $624,000 (current and anticipated) 
Illinois Department of Human Services, Supportive Housing: $236,280 (current and anticipated) 
Illinois Department of Public Health, HIV testing: $199,710 (current and anticipated)</t>
  </si>
  <si>
    <t>0 - 19 years old
20 - 39 years old
60 years or older</t>
  </si>
  <si>
    <t>Center on Halsted has programming for people of all ages. The largest group of people we serve are youth, from birth to age 24. We also serve a large population of elders, aged 55 and over.</t>
  </si>
  <si>
    <t>Man
Woman
Transgender
Non-binary</t>
  </si>
  <si>
    <t>Center on Halsted does not track income level.</t>
  </si>
  <si>
    <t>https://www.jotform.com/uploads/Sol_Flores_sflores/242752736237461/6214207853711602120/COH%20FY25%20Budget.pdf
https://www.jotform.com/uploads/Sol_Flores_sflores/242752736237461/6214207853711602120/COH%20IRS%20Determination%20Letter.pdf
https://www.jotform.com/uploads/Sol_Flores_sflores/242752736237461/6214207853711602120/BODAffiliations_April%202025.pdf
https://www.jotform.com/uploads/Sol_Flores_sflores/242752736237461/6214207853711602120/Center%20on%20Halsted_FY23%20Audit.pdf
https://www.jotform.com/uploads/Sol_Flores_sflores/242752736237461/6214207853711602120/FY23%20COH%20990.pdf
https://www.jotform.com/uploads/Sol_Flores_sflores/242752736237461/6214207853711602120/Primary%20Organizational%20Staff.pdf</t>
  </si>
  <si>
    <t>https://www.jotform.com/uploads/Sol_Flores_sflores/242752736237461/6214207853711602120/CoH-2023-24ImapactReprt.pdf</t>
  </si>
  <si>
    <t>For the current fiscal year, 25.5% of the total organizational budget is public funding.</t>
  </si>
  <si>
    <t>Apr 24, 2025</t>
  </si>
  <si>
    <t>acesario@breakthrough.org</t>
  </si>
  <si>
    <t>Breakthrough</t>
  </si>
  <si>
    <t>36-3810926</t>
  </si>
  <si>
    <t>402 N St. Louis Avenue</t>
  </si>
  <si>
    <t>www.breakthrough.org</t>
  </si>
  <si>
    <t>Alex</t>
  </si>
  <si>
    <t>Cesario</t>
  </si>
  <si>
    <t>(773) 346-1782</t>
  </si>
  <si>
    <t>Bradley</t>
  </si>
  <si>
    <t>Troast</t>
  </si>
  <si>
    <t>btroast@breakthrough.org</t>
  </si>
  <si>
    <t>(773) 346-1783</t>
  </si>
  <si>
    <t>1992</t>
  </si>
  <si>
    <t>104</t>
  </si>
  <si>
    <t>3000</t>
  </si>
  <si>
    <t>Breakthrough recognizes the critical role leadership plays in shaping programs and supporting participants. To this end, the organization maintains a diverse and representative Board of Directors. One current member brings lived experience with homelessness, reflecting Breakthrough’s commitment to inclusive leadership. The Board is composed of 38% Black, 15% Hispanic/Latino, and 43% White members, with a gender composition of 62% male and 38% female. New Board members receive personalized onboarding and are encouraged to volunteer and attend Breakthrough events throughout the year, fostering deeper engagement with the organization’s mission. In addition to the Board of Directors, Breakthrough also engages an Advisory Board and a Young Professionals Board. 
Breakthrough employs 125 staff members, of whom 72% are African American, 10% are Hispanic/Latino, 15% are White, and 3% identify as other. The staff is 57% female and 43% male. Breakthrough is committed to building a team that mirrors the community it serves.</t>
  </si>
  <si>
    <t>Breakthrough partners with people to build connections, develop skills, and open doors of opportunity. Breakthrough envisions a safe, stable, engaged Garfield Park where success is the norm and everyone thrives.</t>
  </si>
  <si>
    <t>Jun 30, 2024</t>
  </si>
  <si>
    <t>Breakthrough measures success by the depth of its impact and alignment with the goals and needs of the East Garfield Park community. Each year, the organization identifies key milestones across core program areas that reflect strategic priorities and long-term community investment.
In Housing, Breakthrough has initiated construction on a new 14-unit family housing facility, which is expected to be completed and fully operational by FY26. This milestone underscores the Breakthrough’s commitment to expanding stable housing options for families. Additionally, Breakthrough aims to maintain a housing retention rate of 80% or higher among participants in its permanent supportive housing programs. Breakthrough will provide a needs assessment to all Daytime Support Center and Transitional Housing guests. 
In Education and Youth Development, Breakthrough is targeting an 80% attendance rate in enrollment in both the Breakthrough Beginners early childhood program and the Nettie Bailey Student Achievement Program (NBSAP). At least 80% of children exiting Beginners are expected to meet or exceed kindergarten readiness benchmarks, and 95% of 8th-grade students in NBSAP are expected to gain admission to Level 1+/Level 1 high schools. Breakthrough aims to employ 25 youth yearly.
Breakthrough’s Violence Prevention efforts aim to provide high-risk individuals with pathways to education, employment, and stable housing through intensive case management, to enroll at least 60 participants, and ensure all returning citizens are connected to supportive services. Outreach workers spend the majority of their time canvassing high-priority areas and facilitating at least 75 mediations annually to prevent retaliation and reduce conflict. Victim Advocates respond rapidly to incidents of violence and provide support to at least 50 individuals affected by street violence. Additionally, Breakthrough will host at least 25 safe space events—primarily during the summer months—to foster community healing and promote a sense of safety and hope.
Progress will be tracked through both quantitative and qualitative measures. Quantitative metrics include housing retention rates, enrollment numbers, academic outcomes, staff retention data, and budget performance. Qualitatively, Breakthrough will gather feedback through community focus groups, interviews, storytelling, and internal learning circles. Many staff members live in the community, offering valuable real-time insights that inform ongoing program design and ensure Breakthrough remains responsive and accountable to those it serves.</t>
  </si>
  <si>
    <t>Breakthrough’s success is driven by a deeply experienced and committed leadership team whose collective expertise spans program development, community engagement, fundraising, operations, and violence prevention. Executive Director Yolanda Fields brings over two decades of service at Breakthrough, rooted in her decades-long service to the community as a local resident. Her compassionate and strategic leadership fosters a culture of dignity, ensuring that programs meet both immediate needs and long-term goals. Lisa Gwin, Chief Program Officer of the Breakthrough Youth Network, has been instrumental in building youth and early childhood education programs that exceed state standards. With degrees in education and early childhood administration, and as a long-time East Garfield Park resident, Lisa ensures that programming is both high-quality and community-centered.
Cheron Massonburg, Chief Program Officer for adult services and Community Economic Development, draws from over 23 years in community-based program management and a clinical background as a registered nurse. She ensures essential services like housing, food access, and behavioral health are trauma-informed and holistically delivered to support over 18,000 individuals annually. Damien Morris, Chief Program Officer for Violence Prevention, has helped grow Breakthrough’s outreach and victim support services since 2008. His leadership in coordinating citywide partnerships and guiding youth and adult engagement programs has been vital in reducing community violence.
Supporting the infrastructure behind these efforts is Chief Administrative Officer John Smith, who oversees finance, HR, IT, and construction. With a track record of managing multi-million dollar facility projects, John ensures operational excellence and sustainability. Together, this leadership team brings complementary strengths and a shared commitment to equity and transformation, allowing Breakthrough to respond to community needs with innovation, care, and lasting impact. Alexandra Cesario, Chief Development Officer, plays a crucial role in securing the financial health of the organization. With a background in communications and nonprofit leadership, she has significantly increased Breakthrough’s annual revenue and broadened its visibility and donor base.</t>
  </si>
  <si>
    <t>Breakthrough’s approach to community engagement is grounded in long-standing relationships and local insight from East Garfield Park residents, who actively guide strategy and programming. Feedback is gathered through surveys, conversations, and advisory committees, with residents regularly hired as staff and represented on the Board of Directors. Leadership reflects the community, with many senior staff being local or former participants. Programs are co-designed and adapted based on participant input, from youth programming to early childhood parent support, and shaped by culturally relevant partnerships. Breakthrough’s trauma-informed, collaborative work with schools, churches, law enforcement, and grassroots groups has made it a trusted convener, ensuring its programs stay responsive and community-led.
Since 2000, Breakthrough has actively engaged in community convening and coalition-building efforts to strengthen East Garfield Park by fostering resident leadership, assessing community needs, and mobilizing resources for collective action. Breakthrough prioritizes community involvement, centering residents' voices in all aspects of program design and implementation. The organization actively seeks input from community members through conversations, surveys, committee formations, and participation in the strategic planning process. 
During FY23, Breakthrough initiated its latest strategic planning process and engaged 471 voices. All of Breakthrough’s existing programs are a result of receiving feedback from community members through processes like this.
Since January 2024, Breakthrough has hosted monthly community conversations over dinner in East Garfield Park, which regularly engage about 80 East Garfield Park residents. During these events, the Director of Community Relations leads discussions on topics such as Community Safety and Scaling Community Violence Intervention (CVI) for a Safer Chicago (SC2). These conversations have contributed to the development of the Garfield Park Community Safety Plan. On February 24, 2025, Breakthrough hosted a community vision board meeting. This dinner and conversation event provided residents with an opportunity to brainstorm and share their vision for the future of their community.
As a key partner in SC2 since its inception, Breakthrough is collaborating with community-based, citywide, county, and state stakeholders to reach a 50% reduction in gun violence in East and West Garfield Park over five years. As the collaborative hub agency, Breakthrough connects the highest-risk individuals with partner agencies who provide essential services, including behavioral health, education, and workforce support. This work involves a block-by-block approach in East and West Garfield Park to identify underserved populations and ensure that 75% of the highest-risk individuals are reached. As a trusted community convener, Breakthrough plays a pivotal role by providing victim services, conducting street outreach, and coordinating peace circles, mediations, and non-aggression agreements through SC2.</t>
  </si>
  <si>
    <t>One of Breakthrough’s core values is collaboration. Breakthrough intentionally convenes efforts, thoughts, ideas, and relationships for the success of East Garfield Park. All of Breakthrough’s program areas have dedicated partnerships with formal agreements.
Education &amp; Youth Development
Collaborative partnerships strengthen Breakthrough Beginners, The Nettie Bailey Student Achievement Program (NBSAP), Breakthrough Beyond, and the Sports and Fitness Academy. Through over 50 partnerships, Breakthrough leverages collaborative efforts to enhance its education and youth development programming. Notable partners include Easterseals, Beidler Elementary School, the Chicago Public Schools District Office, GODDESS Mentoring, C.A.M.P Orchestra, the Greater Chicago Food Depository, CPS Safe Haven, the Department of Family and Support Services, Educational Endeavors, Abrakadoodle, and Fox Valley Christian Action. The Sports and Fitness Academy partnerships include Chicago Sky Care, Live Grit Soar, Girls in the Game, Girls on the Run, First Ascent, Peace Runners 773, and Urban Initiatives.
Housing
Breakthrough, a longtime leader in homeless intervention in Chicago, has demonstrated nearly 30 years of unwavering commitment to collaboration and partnership. Through strategic alliances with organizations like the Chicago Coalition to End Homelessness and the Chicago Continuum of Care, Breakthrough advocates to influence policies benefiting marginalized populations, such as amendments to the Illinois Human Rights Act. Partnerships include access to medical care through Lawndale Christian Health Center and substance use recovery services via referrals to organizations like Above and Beyond. In alignment with a Housing First model, Breakthrough’s housing programs maintain formal agreements with agencies including Inspiration Kitchens, A Safe Haven, and St. Anthony’s Mental Health, integrating harm reduction and trauma-informed care. 
Economic Opportunity
Breakthrough’s CED program is strengthened by partnerships with organizations such as Sunshine Enterprises, Center for Community Investment, and BMO, which collaborate on homeownership courses, small business training, and money management coaching. The Sunshine Enterprises program, available in virtual and hybrid formats, equips participants with essential entrepreneurship skills, including managing finances, using social media for promotion, and accessing financial capital. Additionally, organizations such as Greater West Town, Revolution Workshop, Chicago Job Council, and Inspiration Kitchens offer work-readiness training and collaborate with Breakthrough to support participants' career goals.
Health &amp; Wellness
Breakthrough’s partnerships play a vital role in addressing food security and promoting holistic well-being. Collaborations with organizations like the Greater Chicago Food Depository ensure consistent food supplies, while medical institutions such as UIC and Rush provide critical nutrition expertise. The Fresh Market supports local food distribution, SNAP applications, and connections to resources like LIHEAP. Partnerships with Bobby E. Wright Comprehensive Behavioral Health Center, Rincon Family Services, Lawndale Christian Health Center, Thresholds, and Cook County Health expand access to culturally appropriate goods, mental health services, and healthcare support. 
Violence Prevention
Since 2017, Breakthrough has been the lead agency in East Garfield Park for the Communities Partnering 4 Peace (CP4P) initiative, a city-wide violence reduction strategy creating a multi-disciplinary community-based response to gun violence in Chicago. Specifically, Breakthrough has close partnerships with UCAN in North Lawndale, INVC in West Garfield Park and Austin, and Together Chicago on the Near West Side. Breakthrough’s Violence Prevention maintains current formal linkage agreements with New Landmark Missionary Baptist Church, Youth Guidance, Lawndale Christian Legal Center, HIRE360, GEO Re-Entry Services, BUILD, Inc., the Above and Beyond Family Recovery Center, and Fathers Who Care.
Breakthrough deeply values collaborating with the community. Breakthrough actively involves program participants in design and organizational governance by prioritizing community voice and feedback. Across its programs, Breakthrough uses surveys, direct engagement, and strategic partnerships to ensure programming aligns with the needs and aspirations of those it serves. Breakthrough Beyond ensures that youth voices shape program direction through surveys and by observing participation patterns.</t>
  </si>
  <si>
    <t>For many years, one of Breakthrough’s core values has been Racial Justice, which is articulated in the following statement: “We recognize the destructive impact of racism and seek to dismantle its impact in our community. Further, we nurture an organizational culture that values diversity, equity, and inclusion.”
In 2018, Breakthrough established the Restorative Justice Collaborative (RJC), a diverse staff-led task force that incorporates employee voices across the organization to foster an anti-racist work culture. The task force is currently exploring effective methods to track organization-wide progress and implement ongoing staff training.
In 2020, the Executive Leadership Team (ELT) completed a two-year program with the Bridgespan Group, which included a project centered around incorporating DEI into organizational leadership development. Subsequently, the ELT hired a DEI consultant to meet with them monthly, to lead all staff trainings every quarter, and to lead the RJC in strategic efforts.
A goal for FY25 in the current strategic plan outlines revamping Breakthrough’s DEI strategic plan and culture. Breakthrough believes that Equity, Diversity, and Inclusion are deeply connected and interrelated. But, ensuring that a group is diverse (represents a wide variety of people) and/or inclusive (all people feel equally valued) does not ensure that it is equitable (everyone has equal access and opportunity). While Breakthrough strives to create a diverse and inclusive environment, the organization's priority at this time is on ensuring that everything is rooted in equity.</t>
  </si>
  <si>
    <t>Breakthrough addresses racial and ethnic inequities and advances social justice in the Chicagoland area through a comprehensive, community-centered approach. Guided by a core value of racial justice, Breakthrough is committed to dismantling the lasting impacts of systemic racism while fostering a culture rooted in diversity, equity, and inclusion. The Restorative Justice Collaborative (RJC), a staff-led task force, spearheads DEI initiatives, including leadership and staff training, to ensure these values are embedded across all aspects of the organization.
East Garfield Park is a resilient, community-driven neighborhood on Chicago’s West Side, but it faces deep socioeconomic challenges due to decades of disinvestment. Nearly half of households earn under $25,000, and over 43% of residents live in poverty. Housing insecurity is high, with almost 50% of homes foreclosed between 2005 and 2021, and just 22.5% of buildings owner-occupied, well below the city average of 45%.
Breakthrough aims to address critical community needs by building upon the strengths and assets of the Garfield Park community. East Garfield Park is rich in social capital, with a deep sense of solidarity, resourcefulness, and commitment to mutual aid among residents. Breakthrough is not only addressing the symptoms of disinvestment but also empowering the community to drive its development and resilience. By providing education, work experience, and supportive services individuals can increase their skills, gain and retain employment, and become community contributors and leaders.
Black- and Latinx-owned businesses make up only 9% of total business owners with employees in Cook County, despite representing over 57% of the county's population. Breakthrough’s small business coaching program specifically targets Black- and Latinx-owned businesses, helping them overcome systemic challenges and build sustainable enterprises that contribute to the local economy.
According to McKinsey and Company, the racial wealth gap between Black and white families grew from about $100,000 in 1992 to $154,000 in 2016, largely due to white families gaining significantly more wealth, while the median wealth for Black families remained stagnant. By advocating for increased homeownership, Breakthrough is providing the necessary training for East Garfield Park families to build generational wealth through homeownership.
Breakthrough understands that hiring from within the community is essential for fostering economic stability. Through community hiring, Breakthrough enhances residents' professional development, boosting collective knowledge and fostering community wealth. Residents have been guided from internships to paid and stipend positions to full-time staff roles, including positions such as peace ambassadors, event managers, program assistants, and summer youth employees. 
Breakthrough’s Education and Youth Development programs empower young people through academic support and enrichment, while Health &amp; Wellness initiatives provide accessible, community-based healthcare to reduce health disparities. The Violence Prevention program directly addresses the disproportionate impact of violence in communities of color, working to build safer, more resilient neighborhoods. Breakthrough’s Housing programs provide stable, supportive housing rooted in a Housing First and trauma-informed care model, helping individuals overcome barriers related to homelessness and systemic inequality.</t>
  </si>
  <si>
    <t>Understanding the importance of long-term sustainability, Breakthrough’s board and staff, including 8 dedicated employees on Breakthrough’s Fund Development team, are consistently developing and implementing plans to diversify funding. As a result, Breakthrough has cultivated a diverse funding model that engages foundations, corporations, government, and individual donors. By cultivating a variety of funding sources, Breakthrough’s long-term sustainability is strengthened each year. In FY24 (July 1, 2023 - June 30, 2024) Breakthrough was funded by 53% government funding, 26% individual donors, 17% foundations and corporations, and 4% other income, including program fees and donated goods.
To support financial health, Breakthrough employs rigorous financial management practices, including regular audits, board oversight through a Finance Committee, and the use of robust accounting systems. The organization maintains reserves and follows best practices in budgeting and forecasting. Looking ahead, Breakthrough plans to sustain its operations and programs through continued relationship-building with funders, expanded individual giving campaigns, converting volunteers into donors, and growing donor retention. Breakthrough recognizes the uncertainty around federal funding sources and is preparing multiple budget scenarios for the coming fiscal year.</t>
  </si>
  <si>
    <t>Caerus Foundation $150,000
Greer Foundation $120,000
Chicago Giving Circle $100,000</t>
  </si>
  <si>
    <t>IDHS MFS FLIP $1,234,954
DFSS Housing $635,100
HUD $579,440</t>
  </si>
  <si>
    <t>Breakthrough serves everyone from the age of 2 and up.</t>
  </si>
  <si>
    <t>https://www.jotform.com/uploads/Sol_Flores_sflores/242752736237461/6213293218113964153/Breakthrough%2C%20Organizational%20Budget%2C%20FY25%20%284%29%20%285%29.pdf
https://www.jotform.com/uploads/Sol_Flores_sflores/242752736237461/6213293218113964153/Breakthrough%20501c3%20letter%20%283%29.pdf
https://www.jotform.com/uploads/Sol_Flores_sflores/242752736237461/6213293218113964153/Copy%20of%202025%20Board%20List.xlsx%20-%202025.pdf
https://www.jotform.com/uploads/Sol_Flores_sflores/242752736237461/6213293218113964153/2023%20BTUM%20Public%20Copy%20990%20%281%29.pdf
https://www.jotform.com/uploads/Sol_Flores_sflores/242752736237461/6213293218113964153/FY24%20Audit%20%289%29.pdf
https://www.jotform.com/uploads/Sol_Flores_sflores/242752736237461/6213293218113964153/Key%20Staff%20Bios.pdf</t>
  </si>
  <si>
    <t>https://www.jotform.com/uploads/Sol_Flores_sflores/242752736237461/6213293218113964153/Breakthrough%20Annual-Report%20FY24%20%283%29.pdf
https://www.jotform.com/uploads/Sol_Flores_sflores/242752736237461/6213293218113964153/PeaceKeepers%20Report.pdf
https://www.jotform.com/uploads/Sol_Flores_sflores/242752736237461/6213293218113964153/Breakthrough%20Focus%20Area%20brochure.pdf
https://www.jotform.com/uploads/Sol_Flores_sflores/242752736237461/6213293218113964153/Breakthrough%20Strategic%20Plan%202027.pdf</t>
  </si>
  <si>
    <t>53% Public 47% Private</t>
  </si>
  <si>
    <t>hmorreale@newmoms.org</t>
  </si>
  <si>
    <t>New Moms, Inc.</t>
  </si>
  <si>
    <t>36-3265804</t>
  </si>
  <si>
    <t>New Moms</t>
  </si>
  <si>
    <t>5317 W. Chicago Ave.</t>
  </si>
  <si>
    <t>60651</t>
  </si>
  <si>
    <t>www.newmoms.org</t>
  </si>
  <si>
    <t>Hilary</t>
  </si>
  <si>
    <t>Morreale</t>
  </si>
  <si>
    <t>Senior Institutional Giving Manager</t>
  </si>
  <si>
    <t>773-252-3253 x143</t>
  </si>
  <si>
    <t>Laura</t>
  </si>
  <si>
    <t>Zumdahl</t>
  </si>
  <si>
    <t>lzumdahl@newmoms.org</t>
  </si>
  <si>
    <t>773-252-3253 x103</t>
  </si>
  <si>
    <t>60</t>
  </si>
  <si>
    <t>12</t>
  </si>
  <si>
    <t>250</t>
  </si>
  <si>
    <t>New Moms' talented, diverse staff of 72 is: 97% female; 40% Black; 40% White; 16% Latina; and 4% Asian. 54% live in, or grew up in, our immediate service community. 33% were themselves adolescent parents or children of adolescent parents. 18% speak Spanish.
New Moms' Board of 24 are: 88% female; 29% Black; 54% White; 4% Latina; and 13% Asian.</t>
  </si>
  <si>
    <t>Mission: New Moms strengthens families by partnering with young moms as they progress toward housing stability, economic mobility, and family well-being. 
Vision: New Moms envisions a future where every young family thrives.</t>
  </si>
  <si>
    <t>Primary Focus: 
New Moms’ primary focus is addressing the needs of young moms and their children, who are experiencing poverty and homelessness in Chicagoland. We believe that motherhood is powerful—using our Executive Skills Coaching approach, we serve ~350 families annually—coaching young moms through our integrated housing, job training, and family support programs—helping young moms to stabilize, set goals, and work toward lifelong self-sufficiency. 
Target Population: 
New Moms serves young moms (aged 24 &amp; under) and their children (typically birth-5). Young moms come to us with big dreams, but they are limited by toxic stress and systemic barriers. Among participants, 75% are Black; 22% Latina; 2% White; 1% Other. 97% are experiencing extreme poverty, and most have no permanent home. Due to the challenges of single parenthood, ~50% have dropped out of school. 100% report trauma histories. Their grit &amp; determination have carried them this far—but their unstable situations limit their abilities to handle the small things and develop long-term habits that will lead to success. 
The wellbeing of mothers and children are inextricably linked—young children who grow up experiencing chronic poverty are much more likely to struggle behaviorally, socially, and academically. Our two-generational framework ensures that the needs of mother and child are addressed simultaneously.
Despite the challenges they face, we serve young families at a critical time in their development—in early childhood and late adolescence, the two periods during which our brains develop most rapidly. We capitalize on this, helping families to rapidly build skills, form healthy habits, and foster relationships that will yield lifelong stability.
Key Activities: 
Young moms typically come to us with three universal goals: to find stable housing, obtain permanent employment, and build a strong family. New Moms coaches young moms, decreasing barriers and opening possibilities, so families can work toward those goals.
All of New Moms’ programs are delivered through an Executive Skills Coaching approach—placing each young mom in the “driver’s seat” of her time at New Moms. We do not offer a prescribed service plan—rather, each young mom determines her own goals and dreams for her family, and we help her to achieve those goals. 
Unique in the country, our services are delivered through our core programs, designed to work together or separately—decreasing barriers for young moms while equipping them with critical skills and support.
Housing: Young moms and children need stability to take the next steps forward. New Moms provides transitional and permanent supportive housing, where young moms can choose to engage with a family coach and set personal goals toward family well-being. We provide center-based housing for 40 families in Chicago and 18 families in Oak Park. Serves ~78 families annually. 
Job Training: Economic mobility is key to lasting change. New Moms offers a comprehensive paid job training program, providing individualized career planning; education re-enrollment support; 16 weeks of paid training and transitional jobs at our social enterprise candle company, Bright Endeavors; and permanent employment placement assistance. Serves ~100 young moms annually. 
Family Support: New Moms ensures that young families have all they need to thrive. Our Family Support program offers a holistic set of services, including prenatal education, doulas, home visits, peer support groups, and other parenting resources, tools, and meaningful social connections. Serves ~220 families annually.
New Moms offers robust supports to ensure that families can thrive—participants in all programs are eligible to receive academic and/or financial coaching, to help them progress toward their goals. And we offer in-house mental health supports for young moms and their kids—addressing a serious need in our community, while helping two generations build resilience. 
In addition to our direct services, we believe in sharing what we’ve learned. New Moms trains and consults with peer organizations, interested in implementing our strengths-based Executive Skills Coaching framework, to improve participant outcomes and create equity-driven change.</t>
  </si>
  <si>
    <t>(1) The metrics listed below align with our agency goals and provide meaningful evidence of our impact, because they demonstrate whether families are experiencing improved stability in several important domains of their lives. We know that having unmet needs in any of these areas of life can create instability in the other areas—services are designed to promote overall wellness and stability. New Moms is a learning agency. We collect robust data in order to determine whether our programs are having the intended impact. 
(2) Agency-wide goals for Fiscal Year 2025 include: 
Education: 80% of moms will obtain a high school diploma/GED, or advance their educational level by exit. 
Employment: A minimum 95 young moms will be placed into permanent employment during the program year. 50% will remain employed for at least one year. 
Housing: 80% of moms will obtain stable housing. 80% will retain stable housing for at least one year 
Health: 90% of families will meet key health indicators around subsequent pregnancy rates; low birth weight rates; breastfeeding initiation; child immunization rates; and family medical insurance.   
Parenting: 85% of moms enrolled for 6+ months will practice positive parenting skills as measured by the Life Skills Progression Scale. 40% will demonstrate decreased levels of parental stress, as measured by the Parental Stress Scale.
We track outcomes continuously throughout programming, and use data to identify program strengths and challenges. Programmatic evaluation is conducted monthly, allowing for thorough, ongoing evaluation of agency-wide goals and outcomes, informing continuous quality improvement.
We monitor emerging research and insights in the service community. We continually seek ways to improve our programming, using iterative adjustments to test theories and ideas for service improvement. We monitor data closely, to understand and learn how our services are meeting needs.</t>
  </si>
  <si>
    <t>New Moms’ programs are led by a talented leadership team, including:
Laura Zumdahl, Ph.D., President and CEO – Laura joined New Moms in 2013 as President &amp; CEO. She also serves as CEO of New Moms’ social enterprise, Bright Endeavors. Laura’s career has been focused on growing and developing effective nonprofit organizations. She has served in a variety of leadership roles in the nonprofit sector in capacity building, legal aid, higher education, &amp; child welfare. Laura was named an Emerging Nonprofit Leadership Fellow by the Chicago Community Trust in 2010, and received a 40 Under 40 Award from the Assn. Forum of Chicagoland in 2013. She is a board member of Chicago Jobs Council &amp; Trinity Christian College. Laura earned a B.A. in Sociology from Trinity Christian College; a M.A. in Social Work from the University of Chicago School of Social Service Administration; and a Ph.D. in Leadership from Cardinal Stritch University. 
Pamela Bozeman, Chief Operating Officer – Pam joined New Moms with 20+ years of leadership experience in nonprofit management, for-profit consulting, and higher education. She has served in Chief Operating Officer roles for YWCA Metropolitan Chicago, Volunteer Coordinator/Chicago Director for Senator Obama, and as the Associate Dean of Students in the University and Director of the Community Service Center for the University of Chicago. Pam holds a M.A. in Public Administration from Northern Illinois University. Pam is a Chicago native. 
Lizveth Mendez, Chief Financial Officer – Lizveth joined New Moms in 2020, during the COVID-19 pandemic. She has significant experience in the public sector, having spent 15 years in the Attorney General’s Office as a Deputy Bureau Chief for Cook County. She holds an MBA and has leadership experience in nonprofit organizations, having served on several boards and finance committees.
Melanie Garrett, Chief Program Officer –  Melanie Garrett joined New Moms’ staff in 2013, with a rich professional background and over 20 years’ experience serving children &amp; families. Melanie received her Bachelor’s degree from Lafayette College, &amp; her MSW from the Univ. of Chicago. Her experience includes work with those experiencing homelessness; those experiencing at-risk pregnancies; children in hospitals; and adolescents with mental health concerns. She has focused on early childhood policy &amp; advocacy, and was an Illinois Early Childhood Fellow.  Melanie holds Infant Mental Health certification from the Erikson Institute. 
Jenna Hammond, Chief Development Officer – Jenna joined New Moms in 2015. Jenna is a graduate of Trinity Christian College, with a Master’s in Social Work from UIC Jane Addams College of Social Work. Jenna has 15+ years of experience in development and fundraising.
Anne Schulz, Senior Director of Performance Management – Anne has been affiliated with New Moms since 1996, having served as Program Director, Development Director, Consultant, &amp; Director of Performance Mgmt.  Anne earned her B.A. from Brown University in Providence, RI, and her MSW from Columbia University in New York.  She has experience ranging from serving clients experiencing AIDS to directing YWCA Social Service Programs.  
Katie Wise, Director of Family Supports – Chicago  – Katie joined New Moms in 2018, bringing 20 years of experience in social service, non-profit, and life coaching. She holds her Bachelor’s degree in Human Services from St. Mary’s College of Minnesota, and her master’s degree in Counseling from DePaul University.
Gail Shelton, Director of Family Supports – Oak Park – Gail joined the Oak Park team in 2015, with 27 years of experience in early childhood programs, including as an early childhood teacher, coordinator for childcare in healthcare, program manager, and program designer. Gail earned her M.A. in Early Childhood from Concordia University in River Forest, IL. She holds PAS certification, and has completed extensive leadership training. At New Moms, Gail manages the day-to-day operations of all services delivered in the Oak Park community.
Tonja Robinson-Harris, Director of Housing – Tonja joined New Moms’ staff in 2024. Tonja has over 25 years’ experience in counseling, teaching, coaching, and leading human service programs. Tonja holds a Master’s in Community Development. She oversees all Housing services.
Susanna Johnson, Director of Workforce Development – Susanna came to New Moms in 2022, with over 18 years of professional experience, including 9 years in Director-Level leadership. She has led teams, managed contracts &amp; budget oversight for government sources. She has helped us to build and refine Workforce Development services, launch new program components, and championed the use of new technology. 
Ellen Kogstad, Founder and Spiritual Director – Ellen founded New Moms in 1983, when she began providing diapers from the trunk of her car, and visiting young moms in their homes and hospital rooms. She soon began offering “drop-in” groups at her church. Ellen holds a DDiv (hc) from North Park Theological Seminary. She is a trained Spiritual Director in private practice, with over 20 years’ experience. She is an educator in the disciplines of Spiritual Formation and Spiritual Direction.
Dana Emanuel, Director of Learning and Innovation – Dana came to New Moms originally in 2009, at our social enterprise, Bright Endeavors. After serving in several roles in our Job Training program, Dana served as a consultant for two years, before returning to our staff full time as Director of Learning and Innovation. In her current role, Dana gathers and synthesizes research and promising approaches, to facilitate program improvement processes. Dana earned her BA from Northwestern University, and her Master’s in Applied Positive Psychology from the University of Pennsylvania.
Nika Vaughn, Social Enterprise Director – Nika joined New Moms in 2024. She oversees all social enterprise operations and programming. Nika has extensive experience in social enterprise management, developing projects, and growing social enterprise teams. 
Agency-wide, our staff of 72 is: 97% female; 40% Black; 40% White; 15% Latina; and 4% Asian. 54% live in, or grew up in, our immediate service community. 33% were adolescent parents, or children of adolescent parents. 18% speak Spanish. Whenever possible, hiring decisions reflect the racial, geographic, and lived experience backgrounds of our participants, including hiring former participants. 
Our team’s experience and qualifications contribute to the project’s success, because team members are able to relate and provide competent coaching, to help young moms rapidly stabilize their family units; set goals; and work toward lifelong independence.</t>
  </si>
  <si>
    <t>New Moms is a mission-driven organization, and all programs have been designed in response to explicit needs stated by participant families. We are a part of our greater community, attending community meetings, serving on advisory boards, and hosting community events as appropriate. During the Covid-19 pandemic, we served as the West Side Diaper Hub. One of our facilities currently collocates with a food resource agency, to better address needs in our community.
New Moms relies on the leadership of our Alumni Advisory Council, a group of New Moms’ program alumni, who are compensated for providing their insight on our policies, procedures, and programming. 
New Moms has formal participant feedback collection procedures, which include an iterative response cycle to ensure that participants are notified of how we are implementing their feedback. Participants and staff are encouraged to submit informal feedback at any given time.</t>
  </si>
  <si>
    <t>New Moms collaborates with other organizations in four main ways:
•	We collaborate via linkage agreement with over 100 service providers, making client-centered referrals to support every area of family life. We make referrals to organizations specializing in domestic violence, healthcare, child &amp; adolescent mental health; substance use disorder; educational programs; employment placement; and child early intervention.
•	We participate in a variety of committees, coalitions, and task forces, to ensure that young moms’ needs are being addressed in our community; to network with other providers; and to remain updated on best practices and new research. These task forces include funder and community-wide collaboratives, multi-sector planning initiatives, community outreach/awareness efforts, policy and advocacy, capacity building, and professional development.
•	We partner via curriculum and job training specific partnerships—with employers that prioritize hiring young moms for permanent jobs, and businesses that invite young moms for career outings, mock interviews, and special presentations.
•	New Moms’ social enterprise provides training &amp; TA for other agencies interested in implementing strengths-based coaching in their programs.</t>
  </si>
  <si>
    <t>In all areas, New Moms is committed to equity, inclusion, and representation. We have an equity strategic plan, informing our approach to every aspect of our work, as well as the future of our programming. 
Our agency’s culture, values, and approach to service are grounded in equity, inclusion, and representation. Our goal is to create environments that are inclusive, affirming, and healthy for all. New Moms does not discriminate on the basis of race, ethnicity, nationality, language of origin, or religion. All staff are trained extensively on recognizing, confronting, and dismantling systemic racism. 100% of staff complete an extensive Diversity, Equity, and Inclusion self-paced training, which includes details on our agency’s internal systems and policies; confronting bias; recognizing microaggressions; and other important areas of understanding and dismantling racism. These trainings have been co-designed with staff, to ensure they are grounded in racial equity. 
Our Executive Skills approach is grounded in equity and inclusion—acknowledging each family’s lived experience, desires, and expertise—placing each young mom into the “driver’s seat” of her family’s time at New Moms. Our role is to coach young moms, as they establish and work toward goals—not offer a prescribed service plan, based on what we think families need.
New Moms has a DEI Strategic Plan, guiding our hiring and partnership policies. Each staff member creates an individual DEI goal, related to her area of work. New Moms has an internal DEI committee, which began in early 2018. Staff rotate on and off of this committee, which is focused on making all services equitable and inclusive. The committee has focused on overhauling all agency language; recruiting practices; and HR/onboarding. We continue to make modifications as recommended by the committee, to ensure that our work centers participants in every area. 
New Moms relies on the leadership of our Alumni Advisory Council, a group of New Moms’ program alumni, who are compensated for providing their insight on our policies, procedures, and programming. 
New Moms’ recruiting, hiring, onboarding and HR practices are designed with racial equity in mind. We are a women-led agency with a 98% female staff. Whenever possible, hiring decisions reflect the cultural, racial, linguistic, and lived experiences of our participants; while adding new skill sets to our team. Over the past several years, we have committed to increasing diversity among board members, to make our oversight more reflective of our participants’ cultural, racial, linguistic, and lived experiences.</t>
  </si>
  <si>
    <t>New Moms is a learning organization. We continually iterate our programs to test new ideas and concepts, to improve outcomes for young families. Some recent examples include:
Beginning in 2016, we began piloting an Executive Skills Coaching approach in our Job Training program. Each participant and staff member takes an Executive Skills Assessment, which analyzes our strengths and challenges as we set goals and get things done. This assessment provides common language that all staff and participants can use—establishing goals that align with strengths, while mitigating challenges. The strengths-based approach also shifts the power dynamic—establishing each young mom as the expert on her family’s goals and needs. Rather than a transactional case management relationship, our staff are coaches—helping young moms work toward the goals they establish for themselves. This approach has proved so effective that we use it across all agency programs. All staff complete the assessment, and the shared language across the agency improves teamwork, collaboration, and efficiency. 
As we began to speak externally about this model, we received significant interest from others, hoping to implement similar strengths-based coaching in their programs. We now provide training and consultation to help other agencies implement the model.
Another example of innovation is around the benefits cliff, which has been an unintended consequence of Chicago’s increasing minimum wage—when young moms increase their income or accept raises, they hit thresholds for benefits eligibility. But for single moms, loss of childcare benefits means they cannot continue in employment. To combat this, we’ve developed a Career Pathways model in our Job Training program. As part of the 16-week program, each young mom selects one of four career tracks: manufacturing, IT, customer service, or healthcare. During the program, she receives additional training and hands-on work experience in that career field. Moms complete credentials in their chosen career fields—and these stackable credentials allow them to enter employment at higher wages, with opportunities to rapidly upskill and increase their earning potential. 
In addition to innovating our programs, we’re also working hard to promote systemic change which will improve opportunities for all working families—just this fiscal year, we’ve added a Policy Director role, who is focused on helping New Moms to amplify the voices and needs of the young families we serve—improving our communities for all working families.</t>
  </si>
  <si>
    <t>Overall, New Moms is in a financially healthy position. Our funding sources are fairly diverse, including City, County, Township, State, and Federal sources (government sources represent 48% of our FY25 budget); Foundations (26%); Corporations (3%); and Individuals (12%), and Other (2%). We also earn income via our social enterprise candle company, Bright Endeavors (9%).
As other nonprofits are likely sharing, we are currently working hard to remain up-to-date on the latest impacts of federal changes. Our funding is relatively diverse, with ~3% in direct federal funds. We also receive ~22% in federal pass-through funds from state and local providers—meaning every program has the potential to be impacted by these changes.
We are leaning in to our core value of love—and working hard to ensure that participant needs are being met, regardless of what is happening around them. 
New Moms plans to sustain our operations in the long term by continuing to fundraise aggressively—we continually pursue new funding opportunities and partnerships that will allow us to grow our programs and networks. We work hard to grow our social enterprise revenue annually—which also allows us to serve more young moms in our Job Training program.</t>
  </si>
  <si>
    <t>Blue Cross and Blue Shield of Illinois: $200,000 - existing
IMC Chicago Charitable Foundation: $150,000 - existing, multi-year
Crown Family Philanthropies: $125,000 - existing, multi-year</t>
  </si>
  <si>
    <t>State of Illinois IDHS: $949,163
Cook County Justice Advisory Council: $597,360
City of Chicago DFSS: $464,975</t>
  </si>
  <si>
    <t>New Moms serves young moms, aged 24 and under, and their young children (typically birth-age 5)</t>
  </si>
  <si>
    <t>100%.         Note on gender identity: ~100% of adolescent mothers are female-identifying; ~50% of children are female, ~50% are male.</t>
  </si>
  <si>
    <t>https://www.jotform.com/uploads/Sol_Flores_sflores/242752736237461/6213179081229004334/FY25%20Agency%20Budget.pdf
https://www.jotform.com/uploads/Sol_Flores_sflores/242752736237461/6213179081229004334/501%28c%293.pdf
https://www.jotform.com/uploads/Sol_Flores_sflores/242752736237461/6213179081229004334/BOD%20Listing%20-%20Contact%20Info%20and%20Duration%20FY25.docx
https://www.jotform.com/uploads/Sol_Flores_sflores/242752736237461/6213179081229004334/Audit%20FY24.pdf
https://www.jotform.com/uploads/Sol_Flores_sflores/242752736237461/6213179081229004334/FY25%20Key%20Staff%20Listing.docx</t>
  </si>
  <si>
    <t>https://www.jotform.com/uploads/Sol_Flores_sflores/242752736237461/6213179081229004334/New%20Moms%20Strategic%20Plan%20FY22-26%20vF_digital_8834.pdf
https://www.jotform.com/uploads/Sol_Flores_sflores/242752736237461/6213179081229004334/New%20Moms%20College%20Success%20Program%20Final%20Evaluation%20Report%20December%202024_4251.pdf
https://www.jotform.com/uploads/Sol_Flores_sflores/242752736237461/6213179081229004334/FY24%20Annual%20Report%20Link_1707.docx</t>
  </si>
  <si>
    <t>Our current total budget is 48% public, and 52% private. The percentage of public funding is slightly higher than in typical years (typically we receive ~42-45% in public funds, however, we have some appropriations that will be expiring at the end of this fiscal year).</t>
  </si>
  <si>
    <t>Apr 16, 2025</t>
  </si>
  <si>
    <t>jpfeiffer@rssichicago.org</t>
  </si>
  <si>
    <t>Renaissance Social Services. Inc.</t>
  </si>
  <si>
    <t>36-3900116</t>
  </si>
  <si>
    <t>2501 W. Washington Blvd.</t>
  </si>
  <si>
    <t>Suite 401</t>
  </si>
  <si>
    <t>60612-2127</t>
  </si>
  <si>
    <t>www.rssichicago.org</t>
  </si>
  <si>
    <t>John</t>
  </si>
  <si>
    <t>Pfeiffer</t>
  </si>
  <si>
    <t>Director of Philanthropy</t>
  </si>
  <si>
    <t>773-645-8900 x405</t>
  </si>
  <si>
    <t>Sandra</t>
  </si>
  <si>
    <t>Deputy Director of Philanthropy</t>
  </si>
  <si>
    <t>srobinson@rssichicago.org</t>
  </si>
  <si>
    <t>773-645-8900 x107</t>
  </si>
  <si>
    <t>1993</t>
  </si>
  <si>
    <t>45</t>
  </si>
  <si>
    <t>STAFF:
68% Black/African American/African
32% White
18% Latine
0% Asian/Pacific Islander
0% Native American
25% Male
71% Female
4% Transgender
0% Other
BOARD OF DIRECTORS:
22% Black/African American/African
50% White
14% Latine
14% Asian/Pacific Islander
0% Native American
50% Male
50% Female
0% Transgender
0% Other</t>
  </si>
  <si>
    <t>Renaissance’s vision is to create a Chicago without homelessness or inequities. Its mission is to empower Chicagoans for long-term success through innovative and comprehensive supportive services and housing.</t>
  </si>
  <si>
    <t>Renaissance Social Services, Inc. (Renaissance) is a leader in Chicago’s response to homelessness. Renaissance prevents and ends homelessness for vulnerable Chicagoans, providing a range of proven solutions including prevention, outreach, rapid re-housing, permanent supportive housing, behavioral health care, and clinical case management. 
Renaissance provides care to unhoused individuals with or at risk for serious mental illnesses including individuals who have complex needs because of child welfare, carceral, or multi-system involvement; chronic medical conditions; substance-use disorders; and other factors.
In 2024, Renaissance’s participants identified as 77% Black or African American, 9% White, 8% Hispanic, 0.5% Asian, 1% American Indian or Alaska Native, 0.5% Native Hawaiian or other Pacific Islander, and 4% multiple races. Renaissance’s participants most commonly have a long history of being unhoused, have disabling conditions, low or no income, low or no assets, limited education and job training, and few traditionally marketable job skills. Participants come from community areas across the city of Chicago.
Renaissance is a citywide leader in providing a wide range of evidence-based solutions to homelessness that are continuously improved with participant and team member input and data analysis and that have transformative impact.  Our programs include:
•	Homelessness Prevention: Renaissance prevents homelessness in Chicago by providing short-term emergency funds to people at risk of losing their homes. The agency provides payment directly to the source for urgent financial hardships, such as car repairs or unexpected medical bills, which could result in missed rent payments and eviction. Additional referrals and support services are provided to link households to stabilizing resources in the community.
•	Flexible Housing Pool Outreach &amp; Case Management: As a key partner in Chicago's Flexible Housing Pool (FHP), Renaissance conducts outreach to homeless individuals and families targeted for housing by the FHP. The program locates and engages homeless people that have been identified as high utilizers of the health care system and engages them into support services, housing, and primary and preventative health care. The cost of this care is borne by local hospitals and health insurance providers that see the resulting reduction in health care expenses.
•	Street Outreach: Street outreach teams visit shelters and encampments on a regular basis to engage with people; provide food, clothing, and personal supplies; offer transportation to health care; and build relationships. Over time, growing trust allows team members to move people into housing and help them to engage in mental health and primary care services. 
•	Rapid Re-Housing: For individuals and families who do not need intensive and long-term supports to exit homelessness and maintain permanent housing, Renaissance provides short-term housing assistance and case management that focuses on building individuals' income and strengths so that they can quickly return to housing independence and stability.
•	Permanent Supportive Housing:  In partnership with landlords across Chicago, Renaissance operates permanent supportive housing programs, offering rent subsidies and wraparound supportive services to help participants increase their stability and autonomy. Renaissance maintains ongoing relationships with participants to ensure they can stay in their homes. Team members help them acquire mainstream benefits (including SNAP, TANF, and SSI), manage public transportation, find employment, learn how to maintain their homes (including paying rent, cooking, cleaning, and managing conflicts), create and manage budgets, and access support for their children's education.
o	Housing Stability Program – site-based permanent supportive housing for single adults and families    
o	Family Support Program – scattered-site permanent supportive housing for families with children 
o	Supportive Housing Outreach Team – scattered-site permanent supportive housing for chronically homeless individuals with mental health diagnoses including military veterans 
o	Seniors Program – site-based and scattered-site permanent supportive housing for older adults
•	Behavioral Health Services: To help participants move towards the greatest degree of stability possible, Renaissance provides critical mental health and substance use recovery services.
o	Community Support Services provides clinical mental health services for people with mental health diagnoses in the community. Clinical case managers meet with program participants in their homes to help them understand and address behavioral health symptoms that are creating impediments or causing instability in their lives. 
o	Hospital Engagement Pilot Program, located in the Austin community on Chicago’s West Side, supports homeless adults following their discharge from nearby safety-net hospitals. Specially trained team members provide recovery support services, housing placement assistance, and connection to resources in a safe, inviting, and home-like atmosphere.</t>
  </si>
  <si>
    <t>$150,000.00</t>
  </si>
  <si>
    <t>In 2024, Renaissance helped more than 4,300 unhoused and housing insecure people and families throughout Chicago, including: 
•	2,404 individuals received resources to prevent eviction and homelessness
•	648 participants living in the agency’s permanent supportive housing, including 71 families
•	216 individuals who were rapidly re-housed, including 42 families
•	523 people living on the streets and in shelters were connected to housing, health care, and/or behavioral services
•	533 individuals received initial screening and referrals for housing and services
With support from Renaissance’s dedicated and compassionate team members, residents in our Permanent Supportive Housing achieved transformational personal outcomes:
•	93% of participants remained in housing for one year or longer
•	89% of participants achieved at least one of their stabilization goals
•	90% of participants avoided unnecessary hospitalization
•	98% of participants avoided psychiatric hospital admissions
•	95% of participants avoided eviction
•	97% of participants avoided incarceration
For the community, Renaissance’s services deliver significant social return on investment. Research by a team at the University of Chicago's Booth School of Business found that dollars invested in Renaissance yield substantial savings in medical bills, law enforcement, and shelter costs - even before accounting for the long-term costs of homelessness.
•	Every dollar invested in our Permanent Supportive Housing program yields $1.27 in social savings.
•	Every dollar invested in our Family Support Program yields $1.90 in social savings, largely due to the added benefits of serving children.
•	Every dollar invested in our Homelessness Prevention Program yields $1.46 in social savings, because preventing an eviction in the first place is much less costly and disruptive for families.
Renaissance collects a wide array of data regarding each participant through its current Electronic Health Record (EHR) system (PIMSY) and Chicago’s Homeless Management Information System (HMIS). Data collection is an ongoing process during the entire engagement and housing relationship. Program staff conduct clinical assessments of participants and record data in the EHR system; assessments are used to create individualized service plans with goals.
All data is gathered to support the best care possible. Intake data includes engagement location, history of treatment and housing, mental health symptoms, suicidal and homicidal thoughts, demographic information, social supports, income and benefits, history of trauma, and treatment preferences, level of stress, and goals established by the participant. 
In collaboration with the Clinical Director and Director of Data and Program Performance, program staff analyze participant outcome data related to housing stability, health outcomes, employment and economic outcomes, participant goal attainment, and other factors along with input gathered from participant surveys and listening sessions to assess and improve program performance.</t>
  </si>
  <si>
    <t>Renaissance’s senior leadership has considerable experience in designing and implementing effective solutions to homelessness: 
Michael Banghart, MA, Executive Director (he/him)
Michael Banghart is a leader in Chicago’s efforts to prevent and end homelessness and advance health equity. He has been with Renaissance since 2001 and has worked in the social services field for more than three decades.  Michael has conducted research into homeless, seriously mentally ill (HSMI) adults and published three articles in peer-reviewed journals and authored chapters in two books on this topic. He has presented at conferences around the United States and is currently a member of the American Counseling Association, American Psychological Association, and the North American Society of Adlerian Psychology. He received his MA in Counseling Psychology from Adler University in Chicago and his BS in Psychology and Sociology from Michigan State University. 
Erica C. Ernst, LCSW, RDDP, EMT-P, CADC, Clinical Director (she/her)
Erica Ernst has worked in the fields of mental health and substance use for 25 years and has worked at Renaissance since 2016. She is the President of the Board of Directors of the Chicago Recovery Alliance and helped launch the organization’s counseling program. Erica has presented widely on topics related to the harm reduction model and trauma-informed care. She received her MSW from Jane Addams College of Social Work at the University of Illinois at Chicago, and her BA in Psychology from Boston University.
Jodan Strueber, LCSW, Director of Clinical Housing Programs (they/them)
Jordan Strueber oversees Renaissance’s Family Support Program, Housing Stability Program, Senior Services Program, and Supportive Housing Outreach Teams. Jordan has worked with individuals who have mental health diagnoses for the past 20 years. They started their career at Thresholds, first providing linkage to people who had been admitted to a state psychiatric hospital, then doing street outreach, and finally leading an Assertive Community Treatment team for several years. They spent a total of 10 years at Thresholds, then worked in the social services department at Blue Shield of California where they provided services to unhoused individuals who were linked to Blue Shield as their managed care organization. Jordan has worked at Renaissance since 2016, starting as a team leader and moving up to program director. Jordan completed a dual degree graduate program at Loyola University Chicago and holds both an MSW and an MA in women's and gender studies. Jordan completed the requirements to obtain an LCSW in 2008. Jordan also brings lived experience as a person with a disability to their role working with a population of people who are also disabled.</t>
  </si>
  <si>
    <t>Renaissance works closely with people with lived experience, community partners, and subject matter experts to design and improve its programs to more effectively prevent and end homelessness.
Renaissance routinely gathers information -- including satisfaction, outcome data, and suggestions for improvement -- from its participants to inform the design, implementation, and evaluation of its programs, including through anonymous surveys, focus groups, and interviews.  
Renaissance consults with community partners including, for example, Trilogy and West Side Health Authority, to seek input regarding the design and operation of its programs to ensure maximum responsiveness and impact.
Renaissance's Advisory Board includes individuals with deep subject matter expertise in areas including health care, social services, community development, and impact evaluation.
Renaissance leverages the intelligence gathered through these various means to refine program models, policies, and procedures, in accordance with its certification by the Commission on Accreditation of Rehabilitation Facilities (CARF International).</t>
  </si>
  <si>
    <t>Renaissance partners with a wide range of organizations to create a comprehensive network of housing, health care, services, and resources for the individuals and families it serves:
•	More than 85 residential property managers and owners throughout Chicago
•	All Chicago Making Homelessness History (solutions planning and system coordination)
•	Center for Housing and Health (Flexible Housing Pool)
•	Holsten Management Corporation (permanent supportive housing)
•	Lawndale Christian Health Center (primary and behavioral care)
•	Legal Center for Health Justice (SSI/SSDI advocacy)
•	NHP Foundation (permanent supportive housing)
•	RUSH University System for Health (primary care)
Renaissance partners with nonprofit and for-profit housing developers to design new permanent supportive housing buildings, which Renaissance leases in sections or entirely through master leases.  Recent partners have included East Garfield Park Realty, Holsten Real Estate Development Corporation, and the NHP Foundation.</t>
  </si>
  <si>
    <t>Renaissance recognizes people of color are disproportionately affected by homelessness and poverty in Chicago due to societal and institutional inequities that are still evident today. Chicagoans identifying as Black/African-American make up 72% of the overall unhoused population, contrasted starkly with 30% of Chicago’s overall population. We are committed to helping right this inequity with a wide array of community-based, trauma-informed &amp; person-centered approaches to support for our clients. 
Renaissance is committed to a nondiscriminatory, inclusive, and informed approach to our work serving the community. That ethos extends to all our departments, programs and worksites, where we strive to provide equal opportunity for employment and advancement, and create a diverse, inclusive, and equitable workplace where all employees and volunteers, whatever their gender, race, ethnicity, national origin, age, sexual orientation or identity, education, or disability, feel valued, respected, and belong. Renaissance respects and values diverse life experiences and heritages and wants to ensure that all voices are valued and heard. 
Renaissance's staff and board reflect the diversity and experiences of the communities it serves: 86% of staff and 43% of board members are non-White. A resident of Renaissance’s permanent supportive housing program serves on the agency’s board of directors, and participants are engaged through surveys and focus groups to ensure their feedback informs program design and continuous quality improvement. The Board’s Diversity, Equity, Inclusion, and Access (DEIA) committee works to advance Renaissance’s DEIA goals and create opportunities for dialogue, learning and community building.</t>
  </si>
  <si>
    <t>To effectively serve the most vulnerable unhoused Chicagoans, Renaissance has:
•	partnered with housing developers upstream to create a pipeline of permanent supportive housing units through master-leasing of entire buildings or floors;
•	braided together diverse funding streams to serve people with chronic physical health conditions, mental illness, substance use disorders, and other disabling conditions; and,
•	integrated behavioral health care including recovery support into our programs.
Renaissance team members work in collaboration with participants to build on their strengths and strengthen their weaknesses. They walk with participants on their journey towards greater autonomy and self-determination. Renaissance’s services are informed by evidence-based clinical approaches including housing first, harm reduction, trauma-informed care, recovery support care, and culturally relevant care.
Renaissance is a State of Illinois certified Community Mental Health Center with knowledge and expertise in providing services to adults with or at risk of serious mental illnesses and children and youth with or at risk of serious emotional disturbances. 
Renaissance has played a leading role in designing and implementing major initiatives of the Chicago Continuum of Care to end homelessness, including the Chronic Homelessness Initiative, Flexible Housing Pool, and Unhoused Initiative.
In 2025, Renaissance will expand its programs to meet rising needs by:
•	adding 195 units of housing to its permanent supportive housing programs, including units in the newly renovated Covent Hotel in Lincoln Park (in partnership with NPH Foundation) and Lawson House on the Near North Side (in partnership with Holsten Real Estate Development Corporation);
•	launching an innovative Triage/Bridge Housing program in March 2025 that will maintain 30 apartments and provide health assessment services to rapidly house vulnerable, unsheltered individuals and connect them to health care and long-term permanent housing; and,
•	expanding its homeless street outreach services by adding specially trained Health Outreach Workers and Peer Outreach Workers with lived experience of homelessness, and a second outreach van. 
Renaissance will leverage federal and state grants to expand these programs but will need general operating support from private philanthropic partners to fill funding gaps.</t>
  </si>
  <si>
    <t>Renaissance has made significant progress in stabilizing its finances in the past two years. We are pleased to share the following key developments:
Financial Stability Achieved: Renaissance’s financial situation has stabilized over the past six months, and the organization closed fiscal year 2024 on 12/31/25 with a surplus of $157,314. Our current operating budget for fiscal year 2025 stands at $17,229,991.
Legal Proceedings Update: Our pro bono attorneys at Jenner &amp; Block filed an initial complaint with the Illinois Court of Claims on January 16, 2025, regarding the contract dispute. The legal team is now preparing a second evidentiary statement to support the complaint. Renaissance is seeking to be released from the $2.7 million repayment agreement related to our 2020 and 2021 service contracts with IDHS.
Enhanced Financial Oversight: Renaissance is strengthening its administrative capacity to manage at its new scale, adding three new positions:
Rachael Brinker, MBA of Khulas Finance &amp; Accounting Partners, is now serving as Renaissance’s fractional CFO, providing strategic leadership for our Finance Department.  We are actively recruiting for a Chief Operating Officer (new position), Director of Finance, and Human Resources Generalist.
Comprehensive Financial Review: Our leadership team has conducted a thorough financial review, implementing short-term corrective measures to ensure full compliance with all grant reporting requirements.
Closing the Structural Gap: Renaissance is on track to close the $2.7 million structural gap caused by the IDHS contract dispute through a combination of strategic initiatives, including:
- Federal Employee Retention Credit Approval: In March 2025, Renaissance’s application for the Employee Retention Credit was approved by the U.S. Department of the Treasury, securing reimbursement for five quarters of 2020-2021 payroll totaling $1,214,644. We have received the first of five payments and expect to collect the full amount by year end.
- Asset Sale: Renaissance sold a minority interest in a property developed in partnership with The Renaissance Companies, generating $700,000 in January 2025.
- Capital Campaign Progress: The Campaign for Renaissance has secured pledges of $188,000 (19% of the goal), with $112,334 (60%) already received.</t>
  </si>
  <si>
    <t>For FY 2025, Renaissance's top three private donors are:
Crown Family Philanthropies ($100,000)
Cuore e Mani Foundation ($100,000)
Polk Bros. Foundation ($64,000)</t>
  </si>
  <si>
    <t>For FY 2025, Renaissance's top three public funding sources are:
U.S. Department of Housing and Urban Development ($5,467,019)
Illinois Department of Human Services ($5,671,934)
All Chicago (pass-through state and federal grants, $2,892,755)</t>
  </si>
  <si>
    <t>Adults 40-79 years old</t>
  </si>
  <si>
    <t>https://www.jotform.com/uploads/Sol_Flores_sflores/242752736237461/6206330671876000783/Renaissance%20FY25%20Agency%20Budget.pdf
https://www.jotform.com/uploads/Sol_Flores_sflores/242752736237461/6206330671876000783/Renaissance%20501%28c%29%283%29%20Determination%20Letter.pdf
https://www.jotform.com/uploads/Sol_Flores_sflores/242752736237461/6206330671876000783/Renaissance%20FY25%20Board%20Chart%20for%20Funders.pdf
https://www.jotform.com/uploads/Sol_Flores_sflores/242752736237461/6206330671876000783/Leadership%20Team%20Bios%20-%20Renaissance%20Social%20Services%2C%202025.pdf
https://www.jotform.com/uploads/Sol_Flores_sflores/242752736237461/6206330671876000783/Renaissance%20FY22%20Audit.pdf
https://www.jotform.com/uploads/Sol_Flores_sflores/242752736237461/6206330671876000783/Renaissance%20FY23%20990%20%26%20AG990.pdf</t>
  </si>
  <si>
    <t>https://www.jotform.com/uploads/Sol_Flores_sflores/242752736237461/6206330671876000783/Renaissance%20FY2023%20Annual%20Report.pdf
https://www.jotform.com/uploads/Sol_Flores_sflores/242752736237461/6206330671876000783/Renaissance%20Campaign%20Case%20Statement.pdf
https://www.jotform.com/uploads/Sol_Flores_sflores/242752736237461/6206330671876000783/Renaissance%20Qualifacts%20Case%20for%20Support.pdf
https://www.jotform.com/uploads/Sol_Flores_sflores/242752736237461/6206330671876000783/Mental%20health%20issues%20and%20homelessness%20often%20connected_%20opinion%20_%20Crain%27s%20Chicago%20Business.pdf</t>
  </si>
  <si>
    <t>89% of Renaissance's FY 2025 organizational budget is from public sources, including federal, state, and local agencies and subcontracts from partnering nonprofits.
Since 2023, Renaissance has made significant investments in its capacity to raise funding from private donors, adding personnel, vendors, and technology to accelerate growth.  Private philanthropy grew from $492,000 in FY 2023 to a projected $700,000 in FY 2025.  In FY 2024, the agency launched The Campaign for Renaissance to raise $1 million for investments in the organization's capacity to sustain recent programmatic growth; to date, the campaign has secured $188,000 in pledges and has multiple significant gifts pending.</t>
  </si>
  <si>
    <t>Apr 14, 2025</t>
  </si>
  <si>
    <t>jeanne.mcclure@thresholds.org</t>
  </si>
  <si>
    <t>Thresholds</t>
  </si>
  <si>
    <t>36-2518901</t>
  </si>
  <si>
    <t>4101 N. Ravenswood Ave.</t>
  </si>
  <si>
    <t>www.thresholds.org</t>
  </si>
  <si>
    <t>Jeanne</t>
  </si>
  <si>
    <t>McClure</t>
  </si>
  <si>
    <t>Director, Institutional Giving</t>
  </si>
  <si>
    <t>(773) 572-5207</t>
  </si>
  <si>
    <t>Brent</t>
  </si>
  <si>
    <t>Peterson</t>
  </si>
  <si>
    <t>brent.peterson@thresholds.org</t>
  </si>
  <si>
    <t>(773) 572-5202</t>
  </si>
  <si>
    <t>1959</t>
  </si>
  <si>
    <t>1113</t>
  </si>
  <si>
    <t>266</t>
  </si>
  <si>
    <t>The Board of Directors is comprised of 8 Black or African American members, 5 Asian members, 3 Hispanic/Latinx members, 1 Multiracial member, and 29 White members. The gender composition is 53% male and 47% female. For a detailed breakdown of Thresholds staff demographics, please refer to the attached report.</t>
  </si>
  <si>
    <t>Thresholds provides innovative behavioral and primary healthcare that promotes empowerment, well-being, and full participation in community life. Through unwavering community-based engagement, support and advocacy, Thresholds helps people living with mental health and substance use conditions find home, health, and hope. 
Few, if any, agencies in the country have more experience than Thresholds in providing supportive services to people with serious mental illness (SMI) and co-occurring disorders. Founded in 1959, Thresholds is one of the largest providers of community mental health services in Illinois, serving over 9,500 people a year. The agency has 33 unique programs that employ 184 clinical teams, operating out of 80 sites (including 55 residential locations) throughout the Chicago metropolitan area. Our geographic reach spans five counties in Northeast Illinois.  
Our clients are a diverse population that enter our system of care with no income and co-occurring conditions. Thresholds uses an intensive, team-based approach to address the full spectrum of our clients’ complex health, housing, and social service needs. These teams deliver a wide range of services in our clients' natural settings (e.g., their apartment, at work, or community space). Whether the individual lives in Rogers Park or Blue Island, North Lawndale or the North Shore, our community support teams will provide the most comprehensive care model possible for them in their communities. Depending on needs and severity of symptoms, an individual can be connected to one of three levels of community support: the most intensive Assertive Community Treatment (ACT) team; the less intensive Community Support Team (CST); and the Community Support Individual (CSI), considered the final level of service before self-sufficiency. These models use a multidisciplinary team approach to provide intensive services where and when our clients need them—24 hours a day, seven days a week. All team models include peer support specialists, practitioners with expertise in psychiatry, nursing, social work, substance use treatment, and employment linkage who work closely together to provide integrated and outreach‐oriented services. These teams initiate the housing search, develop a Care Plan, and continue to work with clients over the long-term. Because team members share responsibility for providing treatment and rehabilitation services, the entire team supports each client's personalized goal of recovery.  
The Thresholds Centers for Mental Wellbeing provide a wide range of mental health and substance use treatment services to their immediate surrounding communities. Thresholds has four Centers for Mental Wellbeing, with locations in McHenry County, Kankakee County, Chicago’s Ravenswood neighborhood, and the South Side of Chicago. The Centers for Mental Wellbeing follow the federal Substance Abuse and Mental Health Services Administration (SAMHSA) model of care delivery for Certified Community Behavioral Health Clinics (CCBHC). Thresholds is the only organization to operate four CCBHCs with federal grant funding in Illinois. 
Thresholds is embarking on an ambitious three-year journey to elevate what it means to provide comprehensive care for individuals with mental health and substance use conditions while simultaneously expanding our service continuum and reach to impact more communities and deeply investing in our employees. The six pillars of the 2024-2026 strategic plan are as follows: 
Strategic Growth: Thresholds will generate sustainable growth by broadening the service continuum, serving new communities, ensuring access to services, creating affordable housing, building stronger communities, and cultivating transformative partnerships for greater impact. 
Racial Justice and Equity: We will promote equity and inclusion in internal practices, deepening commitment to equity and engagement in communities, and expanding services to Spanish-speaking communities. 
Systems Change: Thresholds will advocate for meaningful policy reforms and systemic change, while establishing a thriving Workforce Institute to address the behavioral health workforce shortage. 
Service Delivery and Excellence: Thresholds will lead in elevating service excellence and clinical outcomes, cultivating a data-informed culture for better care, promoting equity and inclusion to ensure accessible integrated healthcare for all, and increasing health equity and access to technology for clients as integral components of our organizational mission. 
Employee Investments: We will lead in championing employee wellbeing, strengthening employee engagement and retention, and developing leaders and mentors to fuel organizational growth as essential strategies for fostering a thriving workplace environment. 
Sustainable Financial Future: Thresholds will prioritize funding streams to ensure stability and expanding fundraising efforts are key strategies for securing the financial future of the organization.</t>
  </si>
  <si>
    <t>Glenn SRO Preserve</t>
  </si>
  <si>
    <t>Thresholds' project centers on the acquisition of the Glenn Apartments, a strategically located Single Room Occupancy (SRO) residence in Chicago’s Uptown neighborhood, to preserve 100 units of naturally occurring, low-barrier affordable housing. The Glenn is a vital component of the housing ecosystem for individuals experiencing homelessness, situated near multiple transit lines and essential retail, medical, and supportive services. The current owner intends to list the property for sale, making Thresholds' acquisition crucial to prevent its conversion to market-rate or conventional, highly regulated affordable housing, which would displace the current vulnerable residents. The target population comprises very low-income individuals, including those with serious mental illness and substance use disorders, who often encounter significant barriers in accessing traditional subsidized housing due to paperwork, wait times, and limited supply. Thresholds currently master leases or occupies approximately 60 of the Glenn’s 100 units, operating the Chicago Safe Haven and Front Door Diversion Programs within the building, serving individuals experiencing unsheltered chronic homelessness and those who would otherwise reside in nursing homes. Key activities include the acquisition of the Glenn Apartments, developing a comprehensive renovation scope to upgrade finishes, fixtures, lighting, security, and accessibility (addressing electrical service, roof, and windows), and maintaining the building's current operational model to avoid resident displacement. Thresholds will facilitate referrals from its clinical teams to vacant rooms, preserving the Glenn as a flexible, low-barrier housing resource. The project will also involve retaining existing management staff while adjusting for increased operating costs associated with professional management and facilities services. The anticipated upfront per-unit cost for acquisition and renovation is approximately $55,000 - $60,000, and the project is expected to be completed within 9-12 months, demonstrating a cost-effective and time-efficient approach compared to traditional affordable housing investments, such as the Lawson YMCA conversion which cost over $313,000 per unit and took more than 10 years.</t>
  </si>
  <si>
    <t>$200,000</t>
  </si>
  <si>
    <t>Please see attached Impact Plan</t>
  </si>
  <si>
    <t>Nadia Underhill, Vice-President, Housing and Real Estate: 
Nadia joined Thresholds as Vice President of Housing and Real Estate in 2018. Her division at Thresholds manages more than 650 permanent supportive housing units and 420 scattered-site vouchers, most targeted at individuals living with mental illness. Previously, as Director of Real Estate Development for Heartland Housing, she and her team created and preserved more than 800 units of affordable housing, including more than 250 units of permanent supportive housing for people experiencing homelessness, in Chicago, Milwaukee and Madison, Wisconsin. Nadia holds a MPA from Princeton University, a MSc with merit in Cities, Space and Society from the London School of Economics, and a BA magna cum laude in English Literature from Carleton College. 
Daniel Lach, Vice President, Facilities &amp; Fleet Operations: 
As the Vice President of Facilities and Fleet Operations, Daniel Lach oversees the efficient operation, projects, and maintenance of the organization's 100 facilities and 48 vehicle fleet assets. With extensive experience in strategic planning and operational management, Daniel ensures optimal utilization of resources and strict adherence to safety standards. Their proven leadership and 17 years of service at Thresholds fosters a culture of excellence and continuous improvement, driving innovation and sustainability within the organization.</t>
  </si>
  <si>
    <t>Thresholds employs staff who are in recovery from mental illness. They provide community support services focused on illness self-management, skill building identification, and use of natural supports and community resources. These Certified Recovery Support Specialists (CRSS) operate one drop-in center, one empowerment center that offers a range of daily activities that include art groups, basic living skills, holiday parties, and volunteer opportunities; and a Living Room, which provides immediate assistance to anyone in crisis, linkage to shelter, medical services, and a hot meal. Thresholds has 27 employees with a CRSS credential. Thresholds also has an All-Agency Members Council comprising elected member representatives from all Thresholds programs who have input in the design and implementation of services. The Council meets regularly and makes recommendations for improvements to services to better meet clients' needs.</t>
  </si>
  <si>
    <t>Partnerships that Thresholds will leverage throughout the duration of the grant period are as follows: 
Northwestern Memorial Hospital supports expanded access to health care services and community resources, including transitional housing beds, mental health resources, program development; and to respond to and help address the social determinants of health, for NMH patients and community members supported by Thresholds; to provide direct sponsorship for fourteen transitional housing beds, 7 of which are located in The Glen which is our original Chicago safe haven, program support and development; and to respond to other needs as identified by one or more NMH CHNAs, NMH, in its discretion has agreed to provide Thresholds with a one-time grant (“Grant Support”) in an amount not to exceed one million two hundred thousand Dollars ($1,200,000.00). Such supported activities consist of the Parties’ charitable purposes and missions and help address defined community needs identified in one or more of the CHNAs performed by NMH. 
SRO Preservation - Community Investment Corporation. Construction loans and grant assistance are provided to purchase and preserve housing for some of Chicago's most vulnerable residents, with a focus on Single-Room Occupancy (SRO) units that offer essential affordable housing. SRO Preservation Loan Program authorized under a Chicago City Council ordinance passed in April 2022. Under this program, CIC provides construction loans to new buyers or existing owners of SRO housing. After construction is complete, up to $15,000 per unit will be paid off using City of Chicago grant funds.</t>
  </si>
  <si>
    <t>Thresholds has a long and demonstrated history of employing individuals who reflect the populations we serve and who reside within communities where we provide services. Thresholds recruitment staff and hiring managers are committed to hiring diverse candidates from varied backgrounds and experience that live in the community where that program will be providing services. Currently 58% of Thresholds employees are persons of color. This is reflective of the population that we serve, which is 49% POC. Thresholds is also committed to hiring persons in recovery; currently 79 staff identify as peers; 12 employees are in the process of obtaining their Certified Recovery Support Specialists certification (CRSS) and 27 employees currently hold CRSS certification. The Thresholds Board of Directors along with senior leaders have quarterly DEI conversations on topics including privilege, allies, etc. 38% of the Thresholds’ Board of Directors is comprised of people of color and 47% of the board is female. As a mission-driven organization with culturally, racially, and experientially diverse staff, Thresholds is committed to improving the lives of and advocating for persons with the most complex social and health needs. Thresholds values diversity and inclusion as active practices, not just ideals, by increasing awareness of our differences and our commonalities and celebrating them in all their forms. The agency humbly respects and values other’s personal journeys and perspectives. Thresholds is committed to serving our diverse client population from a culturally appropriate lens, with a focus on racial justice in the healthcare environment. New staff orientation includes a required cultural humility and competency training for all new employees. The Workforce Development department conducts ongoing trainings for all staff on how to be an ally, gender nonbinary issues, antiracism, and privilege. Thresholds offers safe space team consults to discuss sensitive cultural issues that may come up while serving clients of diverse backgrounds.</t>
  </si>
  <si>
    <t>Thresholds is dedicated to creating long-term, systemic change by implementing innovative approaches that directly address the root causes of critical social issues. Thresholds’ Healthy Minds Healthy Lives Coalition continues to seek reform to the comprehensive assessment process required for Medicaid enrollees before receiving services. Our advocacy led to changes that streamlined the assessment by clarifying the medical necessity criteria and making voluminous parts of the assessment optional. While the mental health assessment process continues to be a barrier to efficient access to care, we will continue to educate policy makers on the need to simplify the process and HFS will continue to dialogue with providers through an established working group.  
Thresholds has also participated in the Illinois Harm Reduction and Recovery Coalition. This affiliation is leading legislation on establishing overdose prevention sites and other harm reduction approaches. We regularly speak with stakeholders across the state about the importance of harm reduction services to prevent overdose deaths for people who use drugs.  
Thresholds continues to lead advocacy for health insurance parity in the Illinois state legislature. HB4475: Strengthening Parity, Network Adequacy &amp; Access, led by Thresholds’ advocacy coalition, passed the state House with bipartisan support during the Spring 2024 session. If passed by the Senate, where it has bi-partisan cosponsors, it would amend the Illinois Insurance Code to require health insurance and managed care plans to cover all out-of-network medically necessary mental health and substance use benefits and services (inpatient and outpatient) as if they were in-network for purposes of cost sharing for the insured and sets forth minimum reimbursement rates for certain behavioral health benefits.  It also provides that the insured has the right to select the provider or facility of their choice and the modality, whether the care is provided via in-person visit or telehealth, for medically necessary care.</t>
  </si>
  <si>
    <t>Thresholds, itself, is funded by a combination of government grant funding (45%) including State of Illinois, Federal, and other municipal funding, Medicaid billings (39%) for behavioral health services, donations (6%), rents (5%), and various other funding sources (5%). Generally, the organization targets and generates a small operating margin. The organization prepares an annual budget that is reviewed bimonthly with the Board of Directors. All individual clinical &amp; residential programs are reviewed on a quarterly-basis.  
The Glenn is planned to have a blend of funding sources to cover operations. There are 100 units. Approximately half will be funded by traditional rents charge to the residents. 52 units are supported by two separate grants from the State of Illinois. We believe that the combination of funds will support the operating costs of the building and provide for a small capital reserve.</t>
  </si>
  <si>
    <t>Existing Private Funding: 
William Cornell: $5,024,620 
Rebecca Susan Buffett Foundation: $2,286,505 
John and Kathleen Schreiber Foundation: $500,000 
Anticipated Private Funding:
Starbucks: $275,000 
Pritzker Family Foundation: $250,000 
Chicago Community Trust: $250,000</t>
  </si>
  <si>
    <t>Existing Public Funding: 
Medicaid, Non-Medicaid and fee for service revenue: $56,147,565 
Public Grants and Fee Income (IDHS, HUD): $46,317,476 
Youth and Adolescent Services (Includes a blend of Medicaid, government contracts and funding from various boards of education): $9,897,507 
Anticipated Public Funding: 
Medicaid, Non-Medicaid and fee for service revenue: $62,000,000 
Public Grants and Fee Income (IDHS,HUD): $33,000,000 
Youth and Adolescent Services (Includes a blend of Medicaid, government contracts and funding from various boards of education): $10,500,000</t>
  </si>
  <si>
    <t>81%</t>
  </si>
  <si>
    <t>2%</t>
  </si>
  <si>
    <t>9%</t>
  </si>
  <si>
    <t>Thresholds' clients have an average age of 47 years.</t>
  </si>
  <si>
    <t>Black / African American
White</t>
  </si>
  <si>
    <t>https://www.jotform.com/uploads/Sol_Flores_sflores/242752736237461/6204666325305075692/FY24-25%20Operating%20Budget.xlsx
https://www.jotform.com/uploads/Sol_Flores_sflores/242752736237461/6204666325305075692/One-Year%20Budget%20-%204.24%20-Completed.xlsx
https://www.jotform.com/uploads/Sol_Flores_sflores/242752736237461/6204666325305075692/501c3.pdf
https://www.jotform.com/uploads/Sol_Flores_sflores/242752736237461/6204666325305075692/Board%20of%20Directors%20List%202025.pdf
https://www.jotform.com/uploads/Sol_Flores_sflores/242752736237461/6204666325305075692/Thresholds%20FY24%20Audited%20Financial%20Statements%20FINAL%20%281%29.pdf
https://www.jotform.com/uploads/Sol_Flores_sflores/242752736237461/6204666325305075692/2022%20THE%20THRESHOLDS-990%2C%20990-T%2C%20IL%20RETURNS.pdf
https://www.jotform.com/uploads/Sol_Flores_sflores/242752736237461/6204666325305075692/FY25%20Thresholds%20senior%20staff%20bios.docx</t>
  </si>
  <si>
    <t>https://www.jotform.com/uploads/Sol_Flores_sflores/242752736237461/6204666325305075692/Demographics%20Report%2004.01.2025.xlsx
https://www.jotform.com/uploads/Sol_Flores_sflores/242752736237461/6204666325305075692/Thresholds%20The%20Glen%20-%20Impact%20Plan%20-%20Final.docx
https://www.jotform.com/uploads/Sol_Flores_sflores/242752736237461/6204666325305075692/Thresholds%20Annual%20Report%202024.pdf
https://www.jotform.com/uploads/Sol_Flores_sflores/242752736237461/6204666325305075692/2024-2026%20Strategic%20Vision%20Booklet.pdf
https://www.jotform.com/uploads/Sol_Flores_sflores/242752736237461/6204666325305075692/MUO%20-%20Thresholds%20NMH%20FY24%20End%20of%20Year%20Grant%20OWB.docx</t>
  </si>
  <si>
    <t>Thresholds’ current total organizational budget is 84% public and 16% private.</t>
  </si>
  <si>
    <t>Ravenswood</t>
  </si>
  <si>
    <t>grants@lacasanorte.org</t>
  </si>
  <si>
    <t>La Casa Norte</t>
  </si>
  <si>
    <t>36-4041525</t>
  </si>
  <si>
    <t>3533 W North Ave.</t>
  </si>
  <si>
    <t>Chicago, IL 60647</t>
  </si>
  <si>
    <t>60647</t>
  </si>
  <si>
    <t>www.lacasanorte.org</t>
  </si>
  <si>
    <t>Keelie</t>
  </si>
  <si>
    <t>Vice President of Development</t>
  </si>
  <si>
    <t>keelie@lacasanorte.org</t>
  </si>
  <si>
    <t>773-276-4900 ex. 113</t>
  </si>
  <si>
    <t>Jose</t>
  </si>
  <si>
    <t>Muñoz</t>
  </si>
  <si>
    <t>CEO</t>
  </si>
  <si>
    <t>jose@lacasanorte.org</t>
  </si>
  <si>
    <t>773-276-4900</t>
  </si>
  <si>
    <t>2002</t>
  </si>
  <si>
    <t>56</t>
  </si>
  <si>
    <t>29</t>
  </si>
  <si>
    <t>160</t>
  </si>
  <si>
    <t>As an organization, we strive to reflect the community we serve. Our clients are, by and large, people of color. Similarly, 91% of our 85-person staff identify as BIPOC/AAPI. By race, La Casa Norte employees are Black (43%), Latiné (41%), white (9%), multiracial (6%), and Asian (1%). By gender, 61% of staff identify as women and 39% as men. Specific to the agency’s 13-person board of directors, 69% of its members are BIPOC/AAPI (46% Latiné, 15% Asian, and 8% Black); by gender, 62% of board members identify as men and 38% as women. It is also worth noting that La Casa Norte’s bilingual executive director Jose M. Muñoz – a lifelong resident of the Southwest Side – experienced homelessness during his youth, as did Board President Julio Rodriguez.</t>
  </si>
  <si>
    <t>Mission: La Casa Norte empowers youth and families facing homelessness with the tools to achieve lasting stability. 
Vision: La Casa Norte dreams of a world where every person has the opportunity to thrive and contribute to a vibrant, inclusive society.</t>
  </si>
  <si>
    <t>Hope for Homes Day</t>
  </si>
  <si>
    <t>Hope for Homes Day is a statewide online giving initiative led by La Casa Norte that brings together nonprofits across Illinois working to end homelessness. The primary focus of the campaign is to raise critical funds, increase donor engagement, and build public awareness around homelessness through collective action. The campaign specifically supports individuals and families who are experiencing or at risk of homelessness by mobilizing resources for the organizations that serve them.
Held annually, the campaign centers around a one-day online fundraising event—taking place this year on July 17, 2025—and is modeled after the GivingTuesday movement. Participating nonprofits receive access to matching grants, campaign materials, peer-to-peer fundraising tools, and ongoing technical assistance including bi-weekly office hours and strategic guidance led by La Casa Norte. The initiative is also amplified through media coverage and public recognition, including proclamations from Governor Pritzker, Mayor Johnson, and Cook County President Preckwinkle.
In its inaugural year, Hope for Homes Day raised over $153,000, fueled by $40,000 in matching gift sponsorships from the Chicago Community Trust and Knight Impact Partners. The campaign engaged 20 nonprofits, activated more than 520 donors, and launched 79 peer-to-peer fundraising efforts. With $30,000 in confirmed matching gifts for 2025, the initiative aims to grow its reach, involve more organizations, and continue driving impact in the movement to end homelessness.</t>
  </si>
  <si>
    <t>$25,000</t>
  </si>
  <si>
    <t>To measure the success of Hope for Homes Day, La Casa Norte will use a combination of quantitative and qualitative metrics that reflect both the immediate outcomes of the campaign and its longer-term impact on nonprofit sustainability and community engagement.
Quantitative metrics will include:
•	Number of participating nonprofits (goal: 25–30 organizations)
•	Total dollars raised, with a goal to increase overall fundraising success by 20% compared to 2024
•	Amount of matching funds distributed
•	Number of individual donors engaged, with a goal to increase donor participation by at least 10%
•	Number of peer-to-peer fundraising campaigns launched
•	Social media and media engagement, including reach, impressions, and earned coverage
Qualitative measures will include:
•	Feedback from participating organizations, gathered through post-campaign surveys and interviews to assess satisfaction with campaign tools, support, and overall experience
•	Narrative reports and success stories demonstrating how campaign funds were used to support individuals and families experiencing homelessness
•	Reflections on collaboration and shared learning, including how nonprofits applied new fundraising strategies and supported one another
These metrics provide meaningful evidence of impact by capturing both the financial outcomes of the campaign and the deeper value of capacity-building, partnership, and public engagement. They align closely with La Casa Norte’s mission and strategic goals to lead sector innovation, amplify impact, and strengthen the network of organizations working to end homelessness across Illinois.
Key milestones include securing full sponsorship commitments, recruiting and onboarding participating organizations by early summer, launching coordinated outreach and training efforts in the months leading up to the campaign, and completing a comprehensive evaluation following the July 17 giving day. Progress will be tracked through a centralized dashboard, regular communication with nonprofit partners, and internal reviews of campaign performance against established benchmarks.</t>
  </si>
  <si>
    <t>Jose M. Muñoz, Executive Director:
Jose has served as Executive Director since February 2020. With over 20 years of executive management, government affairs, and public relations experience – and a lifelong resident of Chicago’s Southwest Side – Jose arrived with a passion to build, transform, and propel the agency forward. During the COVID-19 pandemic, Jose led the expansion and reorganization of services to meet skyrocketing community need. La Casa Norte served over 20,000 youth and families in 2023, five times the number served in 2019, pre-pandemic. He is a Chicago Park District commissioner, a Leadership Greater Chicago 2023 fellow, an Economic Club of Chicago member, a Neighborhood Housing Services of Chicago board member, and co-chair of the Illinois Latino Agenda. Jose holds a bachelor’s degree in business administration from Chicago State University.
Keelie Johnson, Vice President of Development:
Keelie joined LCN in 2023. Having previously worked at Casa Central and, more recently, Roosevelt University, she brings over a decade of non-profit fundraising experience rooted in meaningful, long-lasting donor relationships. She holds a bachelor’s from the University of Iowa and a master’s in nonprofit administration from North Park University. She is a member of the Chicago chapter of the Association of Fundraising Professionals, a member of the Chicago Council on Planned Giving, a board member of the Iowa Women’s Alumni Network, and is a 2024 Allstate Foundation Executive Leadership Program fellow.</t>
  </si>
  <si>
    <t>La Casa Norte takes a practical, relationship-driven approach to community engagement. For Hope for Homes Day, this started well before the campaign launched. We reached out to peer organizations across Illinois to understand their needs, gauge interest, and identify whether there was momentum for a coordinated statewide giving effort. Those early conversations made it clear that while many housing nonprofits rely heavily on corporate and foundation support, there’s untapped potential in individual giving—especially given that 67% of private philanthropy in 2024 came from individuals, according to GivingUSA.
With that feedback, La Casa Norte stepped up to lead the campaign, focusing on providing tools and infrastructure that would benefit partners across the state. Throughout the planning and execution of Hope for Homes Day, we stayed in close contact with participating organizations. Our Vice President of Development, Keelie Johnson, and Donor Engagement and Special Events Manager, Perla Santoyo, hosted bi-weekly office hours where they shared resources, offered fundraising guidance, and answered questions in real time. Topics included peer-to-peer fundraising strategies, how to engage board members, and how to secure matching gifts. We also provided communication templates to make participation easier and more effective.
These regular touchpoints created space for honest feedback, peer learning, and stronger relationships among nonprofit development teams. This model—grounded in listening, responsiveness, and shared learning—is how La Casa Norte approaches community engagement across its work.
La Casa Norte uses a similar feedback-driven approach across its client-facing programs. Within our housing programs, clients and case managers hold regular “house” or “tenant” meetings that provide opportunities for clients to share input directly with staff and management. We also conduct an annual anonymous client survey, which allows individuals to submit confidential feedback about their experiences. Surveys are returned in sealed envelopes, each marked to ensure confidentiality, and are processed by our data and evaluation specialist—an internal role with no direct client contact. This allows program staff to view aggregated data and demographic trends without tying responses to specific individuals.
Additional channels for feedback include a dedicated email address for program-related comments and concerns, which is monitored by executive leadership. At our main office in Humboldt Park, we maintain an information and referral station staffed by two bilingual program support specialists who field phone calls, assist walk-in clients, and relay questions and feedback from the community.</t>
  </si>
  <si>
    <t>For the inaugural Hope for Homes Day campaign, we partnered with 20 nonprofits, including La Casa Norte, A Safe Haven Foundation, Open Communities, ReVive Center for Housing and Healing, Chicago Coalition to End Homelessness, Chi-Care, Covenant House Illinois, Facing Forward to End Homelessness, Housing Action Illinois, Thresholds, Zion Development, Franciscan Outreach, Cornerstone Community Outreach, The Night Ministry, Mercy Housing Lakefront, Deborah’s Place, The Inner Voice, Inc., All Chicago Making Homelessness History, Casa Central, and New Moms. This level of collaboration is especially significant in a landscape where nonprofits often compete for limited funding; Hope for Homes Day created a rare space for organizations to align efforts, share resources, and elevate one another’s work in service of a shared mission.
In a powerful show of support, Governor Pritzker, Cook County Board President Toni Preckwinkle, and Chicago Mayor Brandon Johnson issued official proclamations recognizing Hope for Homes Day. Addressing homelessness requires coordinated, cross-sector collaboration, and this recognition signaled that public leaders are aligned with—and supportive of—the work being led by community-based organizations across Illinois.
Critical to the success of the campaign was the generous support of The Chicago Community Trust and Knight Impact Partners, who provided a combined $40,000 in matching gift sponsorships. Matching gifts are a proven strategy in online fundraising, as they create urgency and incentivize donors by doubling—or even tripling—the impact of their contributions. The availability of matching funds was also a strong motivator for nonprofit partners to register and participate in the campaign.
We also partnered with Stomping Ground Strategies, a local public relations firm, to support campaign messaging, graphic design, and media outreach. They organized a press conference where CEOs and Executive Directors from participating nonprofits spoke about the significance of Hope for Homes Day. The campaign received media coverage from NBC, WGN, and Telemundo, amplifying the reach and impact of the initiative.
For the 2025 campaign, our goal is to engage 25–30 nonprofit partners and increase outreach beyond the Chicago area to ensure broader statewide participation. As of this application, 10 organizations have officially registered, and 10 more have submitted written commitments. Registration will remain open through the end of June. This year, we’ve expanded our outreach efforts with a more proactive strategy to invite and engage nonprofits across Illinois, ensuring that the campaign continues to grow and reflect the diversity of communities working to end homelessness.</t>
  </si>
  <si>
    <t>Contemporary American homelessness is, in many ways, the societal by-product of pervasive, intersecting, and systemic inequities. For this reason, the principles of Diversity, Equity, and Inclusion are inextricable from La Casa Norte’s mission, values, and guiding purpose. 
Not only are a majority of our staff BIPOC, but many also hail from the same West and Southwest Side Chicago communities we serve. As a result, many of our front-line workers have first-hand experience navigating the challenges of housing instability and food insecurity. 
Each year, La Casa Norte staff attend a mandatory, in-person, three-hour seminar facilitated by the agency’s legal team. This session covers a wide range of topics, including workplace conduct, diversity, inclusion, intent versus impact, and implicit bias. More recently, our leadership team completed a Northwestern University training on best practices for impactful DEI integration.
We also understand the importance of linguistic and cultural competence. A significant portion of agency staff are bilingual – and, of direct service staff, a majority. To ensure the equitable dissemination of information, much of our social media content, website, and agency materials are written in English and Spanish. We are, in this way, able to cultivate environments that are safe, accessible, supportive, non-discriminatory, judgement-free, and familiar. 
La Casa Norte is also in talks to devise an organizational DEI plan that will provide a more formal infrastructure to guide equity-driven decision-making.</t>
  </si>
  <si>
    <t>La Casa Norte takes an innovative approach to addressing the root causes of homelessness by combining direct service with initiatives that build capacity across the nonprofit sector. Hope for Homes Day is one such initiative—a statewide online giving campaign designed not only to raise critical funds, but also to expand opportunities for individuals to support housing-focused nonprofits and engage more directly in the movement to end homelessness.
The campaign challenges the traditional, siloed approach to nonprofit fundraising. Rather than competing for limited resources, participating organizations collaborate—sharing messaging, coordinating outreach, and supporting one another through training, peer learning, and shared tools. This collective model fosters a stronger, more connected sector and amplifies each organization’s reach and impact.
Hope for Homes Day also provides an important opportunity for nonprofits to diversify their revenue streams through enhanced individual giving and donor acquisition. By offering campaign toolkits, peer-to-peer fundraising tools, and coordinated outreach strategies, the campaign helps organizations expand their base of supporters and engage new donors who may not have previously contributed. This approach not only drives giving on the day of the campaign but also builds a stronger foundation for long-term individual support.
At a broader level, the campaign has elevated public awareness of homelessness as a statewide issue. It received formal proclamations from Governor Pritzker, Mayor Johnson, and Cook County Board President Preckwinkle, and media coverage from NBC, WGN, and Telemundo. This visibility has helped shift the public narrative around homelessness and brought greater attention to the solutions being led by community-based organizations.
By creating new pathways for individual engagement, fostering nonprofit collaboration, and raising public visibility, Hope for Homes Day challenges traditional fundraising structures and builds collective momentum toward housing justice in Illinois.</t>
  </si>
  <si>
    <t>The financial health of La Casa Norte has improved over the past three fiscal years. During this period, we have consistently met our financial obligations without incurring any new debt, and our liquidity ratio has averaged about 1.3. These improvements are the result of fiscal responsibility, increased accounts receivable turnover, and reaching or exceeding fundraising goals. In the last fiscal year we closed with a slight deficit; this was the result of investments in pre-development costs for a non-congregate shelter project that has been in development since late 2022. La Casa Norte was able to cover these pre-development costs with our reserves. 
La Casa Norte’s board and leadership teams work to ensure the continued sustainability of organizational finances through strategic collaboration and prudent, long-term planning. Current agency priorities include strengthening internal operating systems, diversifying revenue streams, identifying new restricted and unrestricted private grant opportunities, and leveraging technology to reduce costs and grow reserves. 
Hope for Homes Day is designed as a sustainable initiative with strong return on investment. The primary cost to host the campaign is the $8,000 online giving platform fee, which is covered through sponsor support and a modest participation fee paid by nonprofit partners. This funding model ensures that the campaign remains low-cost, high-impact, and self-sustaining over time—while also providing meaningful fundraising opportunities for housing-focused organizations across Illinois.</t>
  </si>
  <si>
    <t>Specific to Hope for Homes Day, the top funding sources are: 
•	Knight Impact Partners | $25,000
•	Chicago Community Trust | $10,000
•	Public funding sources – N/A</t>
  </si>
  <si>
    <t>Specific to Hope for Homes Day, our top anticipated funding sources include: 
•	Knight Impact Partners | $25,000
•	Individual major gift to La Casa Norte | $20,000 
•	Collective donations from individuals | $130,000
•	Public funding sources | N/A</t>
  </si>
  <si>
    <t>18-24</t>
  </si>
  <si>
    <t>https://www.jotform.com/uploads/Sol_Flores_sflores/242752736237461/6187443980771805879/Hope%20for%20Homes%20Day_Staff%20Leadership%20and%20Bios.pdf
https://www.jotform.com/uploads/Sol_Flores_sflores/242752736237461/6187443980771805879/2025%20Hope%20for%20Homes%20Day%20Budget.pdf
https://www.jotform.com/uploads/Sol_Flores_sflores/242752736237461/6187443980771805879/La%20Casa%20Norte%20-%20Organizational%20Budget%20%282025%29.pdf
https://www.jotform.com/uploads/Sol_Flores_sflores/242752736237461/6187443980771805879/La%20Casa%20Norte%20-%20501%28c%29%283%29%20IRS%20Letter.pdf
https://www.jotform.com/uploads/Sol_Flores_sflores/242752736237461/6187443980771805879/La%20Casa%20Norte%20-%20Board%20of%20Directors%20%282025%29.pdf
https://www.jotform.com/uploads/Sol_Flores_sflores/242752736237461/6187443980771805879/La%20Casa%20Norte%20-%20Form%20990%20%282023%29.pdf
https://www.jotform.com/uploads/Sol_Flores_sflores/242752736237461/6187443980771805879/La%20Casa%20Norte%20-%20Audited%20Financials%20%282023%29.pdf</t>
  </si>
  <si>
    <t>Humboldt Park</t>
  </si>
  <si>
    <t>tysonq@newlifecenters.org</t>
  </si>
  <si>
    <t>New Life Centers of Chicagoland, NFP</t>
  </si>
  <si>
    <t>20-2380358</t>
  </si>
  <si>
    <t>4101 W 51 ST</t>
  </si>
  <si>
    <t>.</t>
  </si>
  <si>
    <t>60632</t>
  </si>
  <si>
    <t>newlifecenters.org</t>
  </si>
  <si>
    <t>Tyson</t>
  </si>
  <si>
    <t>Quibell</t>
  </si>
  <si>
    <t>Grant Manager</t>
  </si>
  <si>
    <t>5039575446</t>
  </si>
  <si>
    <t>Jeremy</t>
  </si>
  <si>
    <t>Lamour</t>
  </si>
  <si>
    <t>Director of Partner Engagement</t>
  </si>
  <si>
    <t>jeremyl@newlifecenters.org</t>
  </si>
  <si>
    <t>708-280-5569</t>
  </si>
  <si>
    <t>2005</t>
  </si>
  <si>
    <t>27</t>
  </si>
  <si>
    <t>2402</t>
  </si>
  <si>
    <t>Staff:  
Gender 
-53% Female  
-47% Male 
Race/Ethnicity 
-92% Hispanic/Latino 
-2.5% Black/African American 
-5% White 
-0.5% Two or more races 
Board: 
Gender 
-6 male (66%) 
-3 female (33%) 
Race/Ethnicity 
-Hispanic/Latino: 6 (66%) 
-White: 2 (22%) 
-One or more race: 1 (11%)</t>
  </si>
  <si>
    <t>Mission Statement:  
New Life Centers exists to connect young people and their families with Christ and Community through life-on-life relationships.  
Vision:   
The Beloved Community is a global vision envisioned by Dr. Martin Luther King Jr. as a society where all people share in the wealth of the earth, creating authentic community. It is achieved through nonviolent resistance to injustices and proactive commitment to right relationships, centering the leadership and voices of young people. </t>
  </si>
  <si>
    <t>Pan De Vida</t>
  </si>
  <si>
    <t>Pan De Vida is a food pantry designed to provide for the physical needs of the community, affirm the dignity of those it serves, and bring the community together. Verenice Martinez, Director of Food Distribution Services, describes Pan De Vida: “Pan De Vida provides hope and healing by connecting families to fresh food, community, and relationships. Every week, families can come to our location in Little Village or one of our pop-up sites around the city to receive a variety of fresh produce, dry goods, meat, milk and dairy. Food is the vehicle, Beloved Community is the destination.” 
Pan De Vida operates four days a week in the Little Village neighborhood, twice a week in Midway, and has monthly pop-ups in Humboldt Park. Currently 1 in 5 households in Chicago experience food insecurity, and this actually increases to 1 in 4 for families with children.1 Additionally, there is a racial divide with Black and Latinx households experiencing food insecurity at higher rates than White households.2 All the communities we serve are predominately Hispanic and/or Black.3 In certain parts of Midway, up to 27.7%  of the population is living below the poverty line, and that number only increases in the other neighborhoods served with data indicating that certain census tracts within these neighborhoods are deeply impoverished: Humboldt Park ( up to 38.2%), and in Little Village that number goes as high as 39.5%.4 Many impoverished households in these neighborhoods are not receiving food stamps—Humboldt Park (28.7%), South Lawndale (54.7%), and Archer Heights (73.15%).5 By targeting these neighborhoods, Pan De Vida is able to provide much needed resources. 
Pan De Vida provides fresh produce, dairy, meat, and dry goods to serve 2,000 people weekly, ensuring access to nutritious food. Our daily operations include sourcing, stocking, and distributing food items while ensuring quality and safety standards. Through Pan De Vida, families not only receive essential food supplies but are also connected to a network of additional services. This includes assistance with wraparound supports and education programs such as English classes and training for entrepreneurs.   </t>
  </si>
  <si>
    <t>At Pan De Vida, we utilize a robust data-driven approach to measure our impact both quantitatively and qualitatively. We track key metrics such as the number of individuals and families served monthly (currently 2,000 people a week), the amount of food distributed, and the types of services accessed by our clients through wraparound support. We will also monitor key performance indicators related to food insecurity rates, workforce participation, and community engagement levels. We collect and log data daily at our distribution sites with a data program called Civicore. This allows us to generate detailed reports on our reach and effectiveness. The Greater Chicago Food Depository processes this information. This systematic approach allows us to track the number of individuals receiving food weekly and ensure we are meeting our targets. 
Moreover, to qualitatively assess the perceived impact of our interventions on the well-being and quality of life of program participants, we will gather feedback through surveys, focus groups, and interviews. We also conduct regular surveys to assess client satisfaction and the impact of our "open client food choice" model. Additionally, we monitor the success of our referrals to healthcare, housing, and employment services, tracking outcomes such as improved health, stable housing, and job placements. 
Our ultimate goal is to see tangible improvements in health equity, access to resources, and overall well-being among our target populations. We aspire to achieve a reduction in food insecurity rates, increased job readiness and employment opportunities for at-risk youth, and enhanced community cohesion and resilience.  
To ensure the long-term success and sustainability of our programs, we will continuously monitor and evaluate our activities against these metrics and benchmarks. We are confident that this approach will enable us to identify areas for improvement, make data-driven decisions, and achieve our desired outcomes.</t>
  </si>
  <si>
    <t>Nina Lopez, Chief of Operations: Nina joined the NLC team in 2015 and has been serving the Chicagoland area for 12 years by creating, coordinating and implementing education, employment, and gang intervention and prevention programs. She has her BA in Education and certifications in Education, Supervising Youth Development Practice, At-Risk Suicide Prevention, and Peace-Circle facilitation. She has training in trauma-informed youth development, motivational interviewing, ACES, evaluation development, human resources, grant writing and fund development, among others. 
Director of Food Distribution Services: Verenice Martinez: Verenice is a Chicago local who grew up in McKinley Park, graduated from Kelly High School, and completed 4 years at UIC. She shares, “I faced language barriers at school being one of four Spanish speaking kids in a predominantly Polish private school. Today I’m an advocate for biliteracy programs in schools and serve on the Bilingual Advisory Committee at my children’s school.” Prior to New Life Centers, Verenice managed several different offices including New Life Community Church and State Farm. Of her work with Pan De Vida, she says, “I take pride in leading a team that provides resources and food to communities across the city in a way that makes them feel dignified and welcome. I especially enjoy working alongside young professionals and helping strength their qualifications for future opportunities for leadership.” 
Diana Franco, Food Pantry Administrative Director: Diana was a participant in New Life Centers youth programming. During the pandemic, she stepped up to serve her community through Pan De Vida. Today, she is the administrative director of Pan De Vida and has been a part of expanding its reach. 
Alex Ramon, Food Pantry Head of Operations: Alex also was a participant in our youth programs who became involved in Pan De Vida during the COVID-19 pandemic. He is now the head of operations, serving his community. 
40% of the Pan De Vida Staff were once part of youth programming with New Life Centers. In this way, Pan De Vida is by the community for the community and is a living example of the exponential good that can happen when families and youth are cared for and in turn care for others.</t>
  </si>
  <si>
    <t>New Life Centers is deeply invested in building up our communities together. Ninety percent of Centers staff live in the communities in which we serve, and our programs have been developed as responses to needs raised by the community. NLC leadership is involved in community meetings and leadership in the community. We survey participants and work with other organizations to compile and share data and information to identify needs and receive feedback on how to best serve those around us. 
Pan De Vida was born from a mother daughter team passionate about feeding their community. They, with the support of their church, had begun a volunteer effort to reclaim food from stores to feed day laborers. This grew into a program they ran from their church building. During the pandemic, the needs grew exponentially, and this same mother-daughter team took on the challenge to also multiply their efforts, partnering with New Life Centers to do so. They are still involved in the work of Pan De Vida along with a team of faithful volunteers from the community. Matt DeMateo, CEO of New Life Centers has said, “the beauty of Pan De Vida is that we did this together, this wasn’t New Life only, it was dozens of partners, hundreds of neighbors, youth from our community who came together in a time of crisis and built something beautiful.”</t>
  </si>
  <si>
    <t>Pan De Vida partners with a variety of organizations to ensure food security and holistic support for families across Chicago. Key partners include:
Greater Chicago Food Depository – Providing food supplies and resources for distribution.
IMC Foundation – Major funder supporting Pan De Vida’s expansion and impact.
Local Food Pantries &amp; Community Organizations – Partnering for food distribution and wraparound services.
New Life Community Church – Supporting outreach efforts and community engagement.
Corporate &amp; Philanthropic Partners – Providing funding, in-kind donations, and volunteer support.</t>
  </si>
  <si>
    <t>At New Life Centers, we prioritize equity, inclusion, and representation in all aspects of our organization. Our staffing practices and leadership structure are designed to promote cultural understanding, trust, and connection within the community we serve. We are intentional about hiring staff members who live in and speak the same language as the community we serve. Currently, over 90% of our staff members are Latine. This helps us build trust and create a deeper connection with the community. Our leadership team is committed to incorporating diverse perspectives and experiences in decision-making. We actively seek input from individuals from different backgrounds to ensure we are addressing community needs. In our programs and services, we prioritize equitable access for all community members, including marginalized and underserved populations. We continuously evaluate our programs, identifying areas for improvement and implementing strategies to enhance inclusivity and accessibility.</t>
  </si>
  <si>
    <t>The Beloved Community is built when we work together and when we recognize the innate dignity of humanity in each other. Pan De Vida embodies both of these qualities.  
As a grass-roots start-up, Pan De Vida was born from individuals in the community who saw the needs of their neighbors and believed that they should be the ones to help. New Life Centers was able to partner with them at a key moment to support that vision and give them a platform from which to expand it even further.  
Walking in to Pan De Vida, one is immediately greeted by color and life. Fresh produce rests in baskets, cut flowers scent the air, and staff and volunteers who have often come from a shared home-cooked meal, feeding each other in preparation for feeding the community, are ready to receive you. Clients are allowed to choose from the offerings, like shopping at a grocery store. Diana Franco shares, “everything is intentionally designed for families to feel that they belong… it’s built with dignity and love.” Those who step through the doors are reminded of the dignity they have. Pan De Vida’s model of community-based markets and client choice prompted Greater Chicago Food Depository, the largest food pantry source in the city of Chicago, to transition to these practices in other communities as well. 
When communities are transformed from within, when people are treated with value and so remember that they are valuable, we begin to believe that change is possible and that we may be a part of achieving it. It is from this foundational belief that we are able to address injustices like food inequality knowing that our goal is not only to feed someone, but to fill them with hope and connect them to tangible opportunities for a better future. “Food is the vehicle, Beloved Community is the destination.”</t>
  </si>
  <si>
    <t>New Life Centers has strategically planned for continued financial health and sustainability through diversification of its funding and dedicated teams for financial development and accountability. In our overall programming, 83% of our funding is from government grants, 9.7% is from foundations, and 7.8% is from individuals. However, one of our large programs is funded almost exclusively through government grants, so this unduly skews these percentages. When considered apart from this program, our funding is 43.5% government funding, 31.5% foundations, and 25% individuals. Our Department of Partnership Engagement, is dedicated to maintaining relationships with funders, overseeing grants, and building up our financial base. Our Finance team then oversees funding and incorporates financial accountability including annual external audits. 
Pan De Vida has several factors that ensure its sustainability. First, New Life Centers owns the building from which it operates, ensuring that there will be no rising rent rates and allowing for low overhead costs. Secondly, we receive in-kind donations from grocery stores in order to reclaim what would become food waste, making this program sustainable both for our community while also practicing sustainability for the environment. Lastly, Pan De Vida is able to operate with only a few key staff positions because of the generous efforts of both regular and one-time volunteers, averaging 850 volunteers per year, keeping running costs low. We have also received commitments from the McCormick foundation and IMC to continue funding Pan De Vida.</t>
  </si>
  <si>
    <t>Private: 
Metropolitan Family Services	$3,038,744  
Youth Advocate Programs, Inc.	$886,528  
IMC Chicago Charitable Foundation	$496,846 
Public: 
Illinois Department of Human Services	$4,375,109  
Illinois Department of Juvenile Justice	$630,907  
Illinois Criminal Justice Info. Authority	$547,649</t>
  </si>
  <si>
    <t>Youth, ages 12-24</t>
  </si>
  <si>
    <t>https://www.jotform.com/uploads/Sol_Flores_sflores/242752736237461/6163350899616619202/IRS%20501c3%20Determination%20Letter%20NLCenters.pdf
https://www.jotform.com/uploads/Sol_Flores_sflores/242752736237461/6163350899616619202/Board%20list%20with%20terms%202024%281%29%20%281%29.docx
https://www.jotform.com/uploads/Sol_Flores_sflores/242752736237461/6163350899616619202/Key%20Staff%202025.docx
https://www.jotform.com/uploads/Sol_Flores_sflores/242752736237461/6163350899616619202/Org%20Budget%20FY2024%20Draft%20R20240418%20%2814%29%20%281%29.pdf
https://www.jotform.com/uploads/Sol_Flores_sflores/242752736237461/6163350899616619202/Operating%20Budget%202024%20PDV%20Draft%20R20240416%20%283%29%20%281%29%20%281%29.pdf
https://www.jotform.com/uploads/Sol_Flores_sflores/242752736237461/6163350899616619202/NLCenters%202023%20FS%20Final%20%284%29.pdf
https://www.jotform.com/uploads/Sol_Flores_sflores/242752736237461/6163350899616619202/2023%20NLCC%20Public%20Copy.pdf</t>
  </si>
  <si>
    <t>https://www.jotform.com/uploads/Sol_Flores_sflores/242752736237461/6163350899616619202/2023%20Annual%20Report.pdf</t>
  </si>
  <si>
    <t>Feb 19, 2025</t>
  </si>
  <si>
    <t>kirstenmallik@buildchicago.org</t>
  </si>
  <si>
    <t>BUILD, Inc.</t>
  </si>
  <si>
    <t>23-7022085</t>
  </si>
  <si>
    <t>5100 W. Harrison Street</t>
  </si>
  <si>
    <t>Attn: Development</t>
  </si>
  <si>
    <t>www.buildchicago.org</t>
  </si>
  <si>
    <t>Adam</t>
  </si>
  <si>
    <t>Alonso</t>
  </si>
  <si>
    <t>adamalonso@buildchicago.org</t>
  </si>
  <si>
    <t>7732272880</t>
  </si>
  <si>
    <t>Kirsten</t>
  </si>
  <si>
    <t>Mallik</t>
  </si>
  <si>
    <t>773-425-5489</t>
  </si>
  <si>
    <t>1969</t>
  </si>
  <si>
    <t>195</t>
  </si>
  <si>
    <t>291</t>
  </si>
  <si>
    <t>Board Demographics: 
64% Female, 36% Male
36% Black/African American, 36% White, 12% Hispanic, 12% Asian/Pacific Islander</t>
  </si>
  <si>
    <t>Our mission is to inspire hope and offer opportunities so youth facing systemic obstacles can achieve positive futures.
BUILD envisions a future where every young person in Chicago thrives in the care of a community filled with support and opportunity. Free from systemic obstacles, inspired by creativity and excellence, and empowered to realize their full potential, young people build lives that actively contribute to the safety, stability, and well-being of their communities.</t>
  </si>
  <si>
    <t>Prevention Upstream</t>
  </si>
  <si>
    <t>In Chicago and nationwide, there has been a welcome surge of funding for Community Violence Intervention (CVI) work, which identifies individuals “at the highest immediate risk of perpetrating or being victims of gun violence” (statistically, 18+ with arrest records and gun violence in their networks) and wraps them in integrated services like job training, life coaching, and mental health care. CVI is crucial work, serving a population in dire need and immediate danger, and BUILD is proud to be part of the citywide SC2 initiative, scaling up this work across the West Side. 
However, to sustain CVI successes and reduce violence in the long term, we must also expand upstream into prevention work - engaging younger youth before they age into gun violence and an arrest record. Risk factors for gun violence begin early, and they are cumulative; the more we can intervene earlier with positive youth development programs (PYD) and counteract these risk factors with protective factors – like positive peer networks, caring adults, social skills, emotional regulation, and school success – the more we shrink the pipeline and fewer adults need traditional CVI. It is more efficient anti-violence work, with a broader impact - a stitch in time really can save nine. Risk factors start accumulating young, but protective factors do too. 
BUILD is seeking support for our upstream violence prevention programs, where we embed BUILD mentors, therapists, and advocates full-time into elementary schools, to wrap vulnerable youth (and their families) in services and support.  
These Prevention Teams provide safe, structured, nurturing spaces  - in school, after school, and during school breaks. They help youth build positive skills and relationships, get mentally healthy, and find their creative voice. They reinforce academic knowledge gained during the school day, model effective study habits, foster social emotional learning, and immerse youth in art, music, sports, STEM, and recreational activities – all with individual and group mentoring from caring adults from similar backgrounds who have walked in their shoes.  
 BUILD staff collaborate with the school teachers and social workers to get to know young people and their caretakers over time, earning their trust as they develop a deeper understanding of each youth and their household context. Taking each youth as an individual, BUILD teams assess how to best to support them: mental health care, case management, legal navigation, violence intervention, clinical therapy, gang recruitment interruption, housing support, whatever is needed. If BUILD cannot meet a need ourselves from within BUILD, we coordinate with our partners, but maintain the core relationship. 
Beginning with this core relationship, we start to build a “village” of services, opportunities, and positive people around vulnerable youth and their families. And just as gun violence creates “cascading harm” to society, every young life preserved is a cascade of harm that never begins, replaced with the cascading good of a youth realizing their potential  - positively impacting schools, homes, and neighborhoods. This is the "Violence Prevention Village" model - it is a hopeful projection, and a critical path to meaningful, generational change.  
Target Population: ages 6-14 
While BUILD’s neighborhoods have many assets, vibrant cultures, and dedicated groups of residents, nonprofits, schools, churches, and other stakeholders working together to improve quality of life, they contend with systemic challenges ranging from poverty and gun violence to limited access to mental health services and healthy food. Youth come to BUILD in high-risk situations and with complex needs, including those who are: involved with the justice system or gang-affiliated; housing and/or food insecure; experiencing academic or behavior issues, truant, or have dropped out of school altogether; and experiencing violence-related trauma. In FY24, BUILD served 7,500 unduplicated youth - 58% were African American, 23% Latinx, 9% multi-racial, and 9% unreported; 52% female and 47% male; 100% attended schools where all qualified for free or reduced-price school meals as of 2020, the last time ISBE released school data. 99% of BUILD youth have witnessed violence in their lives, 63% in the last 12 months. 83% have friends or family already affiliated with gangs, 39% are having disciplinary issues at school, 49% report being bullied.  
Key Program Components  
In-School and Out of School BUILD activities are focused on helping youth develop four key skill areas:  
1) succeeding in school and building healthy personal relationships - homework help, test prep, STEM, cultural and recreational field trips, and family nights.  
2) building resilience, mental and physical health - intensive individual and group mentoring, sports leagues (flag football, basketball, volleyball, softball), peace circles, and social emotional learning (SEL) 
3) cultivating the creative spirit with pursuits like as arts, music, drama and dance;  
4) leadership experience, so critical to their future success – these activities include civic education and community service projects like neighborhood clean-ups, and putting together hygiene kits for residents.</t>
  </si>
  <si>
    <t>$150,000</t>
  </si>
  <si>
    <t>To evaluate the effectiveness of all BUILD programs, monitor progress, document impact, and inform program planning and development, BUILD has six-person Monitoring, Evaluation, and Learning (MEL) team—Director, Data Manager, Evaluation Manager, Data Coordinator, Evaluation Coordinator, and Learning Coordinator—which has extensive experience in data collection and evaluation. MEL oversees all BUILD’s data collection and evaluation, using Apricot 360, a comprehensive evaluation and reporting database that tracks/collects and analyzes both quantitative and qualitative data on services provided and progress toward established goals. When evaluating the holistic success of the Violence Prevention Villages,  MEL categorizes our impact and success into three areas: helping BUILDers connect, overcome, and thrive into positive futures. 
Metrics around "Connection" include: 
Increased # of trusted adults in their lives (Goal: at least 80% of youth report this after one year) 
Reduced school disciplinary infractions (Goal: 85%) 
Sustained school enrollment - staying in school.  (Goal: 99%) 
Metrics around "Overcome" include: 
Strong conflict resolution and emotional regulation skills (Goal:85%) 
Reduced fighting/safer school climate (Goal: 85%) 
Avoidance of arrest, gang involvement, and addictive substances (Goal: 95%)
Metrics around "Thrive" include: 
Raised grades 
Promotion to the next school year (Goal: 99%) 
Presence of hope and plans for the future 
Apricot 360 is used for primary program data collection and allows BUILD to tailor goals to the needs of funders and clients. Data collection begins with a comprehensive intake. Program staff guide youth through a low barrier intake process, work hand in hand with the intake coordinator.  Over the course of the program year, staff use a number of data collection tools, some program-specific, from trauma assessments to pre- and post-tests, the results of which staff enter into the shared database so MEL can analyze data and produce reports. BUILD’s data collection tools include:   
MHA (Mental Health Assessment): Screening that detects multiple types of mental health conditions.  
IES – Impact of Events Scale: a self-reported measure that assesses subjective distress caused by traumatic events  
Other subject-area assessments: Clinical staff use a range of tools to identify and assess issues such as anxiety and depression, including the Patient Health Questionnaire-9 (PHQ-9) and the Generalized Anxiety Disorder-7 (GAD-7)  
Youth Assessment and Screening Instrument (YASI): Profiles youth risk, needs, strengths, and generates overall static/dynamic scores on risk/protective factors  
Youth Wellbeing Questionnaire (YWQ): a risk and protective factor assessment for 3rd through 12th graders looking at factors at the individual, peer and family, school, and community level  
Client Treatment Plans  
Clinician Case Notes and Records 
The MEL team creates monthly output reports detailing the number of youth served, hours of service, types of programming and services provided, such as workshops, mediations, peace circles, and a comprehensive year-end report includes such as risk and protective factor scores in multiple domains that impact development: such as, relationship with family and peers, attachment to school, perception of self, substance usage, and school performance. The MEL team collaborates with BUILD’s Program Managers use this data to assess whether a program is in alignment with grant contracts and is on track to meet program goals, and recommend strategic changes if necessary, such as reigniting outreach and recruitment, expanding staff resources, partnering with other BUILD programs, and providing additional services.  
MEL has fostered organization-wide improvements by streamlining our referral and intake process, standardizing enrollment and service provision data collection, and developing BUILD's Service Impact Model (of Connect, Overcome, and Thrive) to measure how our clients develop relationships, address challenges, and pursue opportunities.</t>
  </si>
  <si>
    <t>Collaboratively leading our cross-functional in-school teams are BUILD’s directors of Prevention, Intervention, and Clinical and Community Wellness. This seasoned team has a history of working together to serve Chicago’s youth. Furthermore, they draw on years of experience in their respective fields to effectively lead their teams in the impactful work that they accomplish. 
Project Leadership: 
Curtis Peace, M.Ed., Director of Prevention Programs  
Curtis joined BUILD in February 2023 as our new Director of Prevention Programs, with over 30 years of experience in education and youth development. He started his career in education as an elementary school teacher for Chicago Public Schools, working specifically with special needs students. Just before joining BUILD, Curtis was the Executive Director at the Illinois Afterschool Network for 15 years, where he proactively helped move the organization forward as a visionary and strategic leader. Curtis holds a Bachelor of Arts in Business Administration and Computer Science from Lane College, a Master of Education with a specialization in afterschool and youth development from Concordia University, and a Certificate in Director’s Leadership from the Erikson Institute. 
Angella Smith, B.A., B.S., Director of Intervention Services 
Angella is a long-time BUILDer, having first joined the organization in 2011 as an Intervention Specialist, and has since also held positions in the organization’s Prevention, BUILDing Futures, and Clinical and Community Wellness departments before being promoted to Director of Intervention Services in February 2024. Most recently, Angella served as Manager of High School Youth Advocacy, where she led BUILD’s intensive in-school and after-school high school mentoring program at Roberto Clemente High School in Humboldt Park. As Director of Intervention, Angella oversees BUILD’s Crisis Response, Street Outreach, and Intervention Navigation programs, including manager supervision, budget development and oversight, and grant compliance. Angella received her Bachelor of Arts in Psychology and Bachelor of Science in Business Management and Psychology from Chicago State University.   
Durrell Sheppard, MSW, LCSW, Director of Clinical and Community Wellness Programs 
Durrell joined BUILD in May 2022 as Manager of Community Mental Health Services, with nine years of clinical experience, including work as a Director of Intake and Emergency Services at Hartgrove Behavioral Health Hospital, Manager of Behavioral Health Consulting at Howard Brown Health Center, psychotherapist at the Anxiety &amp; Stress Center, and trauma therapist at La Rabida Children’s Hospital. As Director of Clinical and Community Wellness (CCW) Programs, Durrell oversees four CCW components: Community Mental Health Services, Community Support Services, Mobile Mental Health, and BUILDing Girls 2 Women, including staff supervision, budget oversight, grant compliance, and ensuring CCW programs are achieving grant deliverables. Durrell holds a Bachelor of Science in Criminal Justice from the University of Illinois at Chicago, a Master of Social Work from DePaul University, and is a doctoral candidate in Integrative Social Work at Saybrook University. Durrell supervises BUILD’s clinical team and will assist in clinical oversight of BUILD’s FSP.</t>
  </si>
  <si>
    <t>It’s impossible to work with youth without earning and holding the trust of the communities around them. Ongoing community engagement is crucial for BUILD in three key ways: access, guidance, and motivation. First, access: having the trust and credibility of a community is the only way we can find and identify the most isolated and vulnerable youth, recruit additional young people, and help establish broader, lasting peace in a neighborhood. Second, the guidance of feedback: community and youth voices drive the evolution of our programming by providing steady information on what services we need to provide, how were doing, and what we need to do. Third, motivation: when we stay connected to community, the urgency of our work stays fresh. We can never accept violence as normal, accept losses and trauma as inevitable. We can never slow down or give up.    
These connections are so important to the ongoing success of our work that BUILD has an entire department dedicated to Community Engagement, and a Chief Community Officer in its C-Suite, all advancing our goals of staying connected, visible, present, and accessible to the communities where we work. Our Chief Community Officer Bradly Johnson is an active member of many neighborhood councils and associations, always engaged as a host and contributor. Community Engagement teams host a busy calendar of requested events and workshops (ranging from entrepreneurial workshops and record expungements to gardening and bingo) for the public, while also hosting (and co-hosting with community partners) pop-up events throughout our neighborhoods, especially in the summer. BUILD gives away 1,000 free turkeys each Thanksgiving, and fits nearly 1,000 youth in need with coats for winter. BUILD’s Mobile Mental Health van keeps BUILD visible, reminding our neighbors that BUILD is a steady and reliable presence. This constant engagement not only makes community members more likely to connect and use our services, but it also ensures communication flows both ways, providing feedback about what is working, what is not.  
Our Austin campus is another outcome of how centrally we place youth voice and community feedback:  when we first began in 2018 working on architectural drawings and designs for our city-block campus, we started with youth and community focus groups and listening sessions, asking what they wanted in a facility and what would make them feel a sense of ownership.  Many of our key features started as community and youth requests: the laundry and private showers, raised walking track, fitness lab, multi-purpose event and meeting rooms, lockers, cafe, even the additional electrical outlets on the main stairs for youth to charge their phones. We continuously listen deeply to the communities we serve - they know best what they need.   
Ultimately, no organization can succeed and change a city alone. If our vision is for every young person to realize their individual potential, we must collaborate. We must work together within our field, within neighborhoods, across sectors, and across our city. We have to talk with each other, share what we learn, solve problems together, identify trends and changes, and make sure we are always understanding the world and the challenges our young people are facing. As the saying goes, alone we can do so little; together we can do so much.</t>
  </si>
  <si>
    <t>BUILD is widely regarded as an effective collaborator and has made strategic partnerships a key component of its model for many years. The agency relies on an extensive network of nonprofit, school, healthcare, government, and faith-based partners to increase the breadth and depth of services and resources available to youth and families, and continually establishes new partnerships and joins collaborative efforts that magnify our work and that of other stakeholders in our communities. As the Violence Prevention Villages are a comprehensive expression of our ability to serve young people and families in need, nearly all of our collaborations and partnerships are relevant. 
First, our relationships to our host elementary schools is the most important: nine elementary schools in Austin, East and West Garfield Park, and Humboldt Park. As our hosts they provide the base for our upstream operations. After that, nearly 100 other long-standing and more recent community partnerships help BUILD meet the needs of young people, their families, and their communities. Key partners with which BUILD works and refers clients, include: 
Pro-bono legal services: Lawndale Christian Legal Center (LCLC), First Defense Legal Aid, CARPLS, Legal Aid Chicago, Chicago Volunteer Legal Services, and Beyond Legal Aid 
Domestic violence support services: Sarah’s Inn, Center for Advancing Domestic Peace, and Connections for Abused Women and their Children 
Victims’ services: Chicago Survivors 
Street outreach and services for justice-involved youth: Institute for Nonviolence Chicago, Alliance of Local Service Organizations (ALSO), Youth Outreach Services 
Childcare/early education: Carole Robertson Center for Learning and the Austin Childcare Providers Network 
Housing assistance: La Casa Norte, Westside Forward, New Moms, and the Oak Park Regional Housing Center, and Metropolitan Tenants Organization 
Primary care and acute mental health services: Riveredge Hospital, Erie Family Health Center, Chicago Commons, Mount Sinai, Stroger, and West Suburban Hospitals, and Ann &amp; Robert H. Lurie Children’s Hospital of Chicago 
Job training and employment assistance: Revolution Workshop, Columbia College, Austin People’s Action Network, New Moms, Austin Forward, Skills for Chicagoland’s Future, Monterrey Security, Greater Chicago Food Depository, and Hyatt Corporation 
Since moving to Austin in 2012, BUILD has become a community convener, coalition builder, and anchor organization, managing a variety of collaborative projects. We chair the 15th District CAPS Committee; served as Austin lead agency for the Chicago Department of Public Health’s Resiliency in Communities After Stress and Trauma (ReCAST) initiative; established the Austin Opportunity Collaborative, and hosted the Austin Summer of Opportunity street festival and resource fair, which brought 7,500 residents and 65 organizations together in its first three years. In addition, we serve as the fiscal agent and a key partner for the WESTSIDE RISING Coalition.  
 Further, as a key Austin Coming Together (ACT) partner, BUILD has also been integrally involved in the development and implementation of Austin’s Quality-of-Life Plan (QLP), “Austin. Forward Together,” chairing its Youth Empowerment Task Force and co-chairing the Public Safety Task Force. BUILD actively participates in the Austin Response Team, launched by the former 15th District Police Commander to convene leading Austin organizations to anticipate and address violent situations before they occur, and our Crisis Response Unit receives Custom Notifications from the 15th District, which enables it to work with CPD to reach out to youth at highest risk of violence and offer services, and Crime Prevention &amp; Information Center (CPIC) notifications, alerting CRU to incidents of violence where it can provide on-scene support in tandem with our Mobile Mental Health team. Finally, BUILD is a core member of multiple collaboratives working to improve quality of life, increase health equity, and reduce health disparities in our communities, including ACT, WESTSIDE RISING, West Side United, and the Juvenile Justice Collaborative, based at Ann and Robert H. Lurie Children’s Hospital, with a mission to minimize further involvement of arrested youth in the justice system.</t>
  </si>
  <si>
    <t>Through our work to strengthen the West Side communities we serve, BUILD always seeks to dismantle systems that perpetuate privilege and discriminate against the residents of their own neighborhoods. BUILD prioritizes hiring from within our communities, as over 55 years of experience has shown us that matching young people with mentors who share their background and have walked in their shoes increases the chances of forming a genuine connection and transformational change. Our staff includes former gang members, returning residents, and former BUILD youth—women and men who have experienced challenges similar to the youth we serve. (Further, while BUILD understands that certain positions require specific levels of formal education and training, we also recognize the significant value of lived experience, especially for our work with young people in high-risk situations - and consider applicants without degrees for many of our positions.) These mentor relationships are foundational to our work, which means our staffing choices are a critical part of our efforts to engage and retain young people in our programming. This strategy also helps BUILD to while also helping establish trust with community residents and partner organizations - credibility that facilitates our outreach and engagement efforts. In line with this goal,  4% of front-line staff identify as BIPOC and 54% as women. This diversity extends to BUILD’s leadership (chiefs and directors): 67% of executive team members identify as people of color and 50% are women; 84% of managers are people of color and 61% are women. 
BUILD is consistently working to ensure equity in access to our support and services, as well as equity in outcomes. Our work is inherently intersectional, as the youth and adults we serve come from a variety of backgrounds. At BUILD, those in need are never turned away, so we serve those from all backgrounds, including those across the diaspora of race, sexual orientation, gender identity, religion, economic or social status, and ethnicity. With zero barriers to entry, equity is inherent to our mission, we serve all youth and families who come to us for help, including those often excluded from similar programs due to drug use, mental illness diagnoses, cognitive impairments, or criminal backgrounds. 
In addition to a racially and ethnically diverse staff, BUILD works to ensure its campus and programs are safe and welcoming to persons with disabilities, those with a range of sexual orientations and gender expressions, and those who have experienced trauma. BUILD staff undergo intensive training to effectively and compassionately work with young people with a spectrum of needs, and in designing our new campus, BUILD focused on ensuring it is accessible and welcoming to the entire community, including those with disabilities – visible and unseen. To this end, we worked with our architectural team to design a facility that is ADA compliant, and we continue to work with Illinois Collaboration on Youth and its Capacity Building Assessment Tool for Organizations Assessment process to ensure our organization and facility are trauma informed. And our executive leadership is currently engaged in training around service provision for persons with disabilities through Access Living. 
In Spring 2023, BUILD contracted with Ethos - a local, full-service diversity, equity, and inclusion consulting firm that advocates for belonging, representation, and opportunity for underrepresented and marginalized groups in companies – to conduct a compensation equity analysis and help the organization develop an equitable leveling system and career growth processes. Ethos worked with BUILD’s staff, engaging them in individual interviews and administering a Job Equity Survey, designed to collect accurate information about BUILD’s key roles – including tasks, job characteristics, skills, and experiences, and then analyzed these roles and responsibilities, comparing them to similar market segments and crafting custom recommendations for ideal pay bands for the organization. As a result of this process - and to ensure that the organization both meets its own high standards of respect and fairness and remains competitive in attracting talented, dedicated, and diverse individuals interested in helping youth and families thrive – BUILD increased salaries for many of its roles. 
In addition to the equitable pay structure, BUILD adopted a new holistic performance evaluation system and career growth plan system. With the two new systems in place, staff at all levels have quarterly conversations with a supervisor about their performance and a clear process for advancement. The promotion process plan tools are used to holistically support employees’ professional and personal growth while aligning to our organization values, which is vital to BUILD’s mission and work. It outlines a process for holistic growth planning, professional development, and movement within the organization. Next, to more effectively recruit mental health professionals from the communities we serve, BUILD applied and was approved to become a National Health Service Corps Site through the federal Health Resources &amp; Services Administration. This program enables mental health care staff to apply for loan repayment assistance, which can increase incentives for potential candidates to work at BUILD and current staff to earn a degree and move up in BUILD’s ranks.</t>
  </si>
  <si>
    <t>Through dramatic growth and expanded reach, a thriving organizational culture and workforce, and high-quality programs and services, BUILD’s most unique strength is its “one-stop-shop", three-fold combination of deep street outreach, broad menu of wraparound youth services, and the extensive physical infrastructure of safe, welcoming, and empowering spaces. In just the last five years, BUILD has tripled the number of youth and families we serve from 2,500 to 7,500, embedded teams into over twenty schools, and built over 60,000 square feet of youth and community spaces.  Our Austin campus in particular is a highly visible foothold for peace in one of city’s most violent neighborhoods, reclaiming space for not just our own peacebuilding work but those of our partners, too.  
First, our Violence Prevention Village model is nothing new to BUILD and other Positive Youth Development providers, but we do believe our work to bring it to an entire school, clearly articulate it, define it, and measure it is quite innovative. Building a VPV will never be a cookie-cutter process – every school is different, every community is different, every youth is different – but we believe our own experience serving so many complex cases in different school environments will be a guide to others who wish to work upstream as well 
Second, in historically disinvested and oppressed neighborhoods like the West Side, successfully developing, opening, and maintaining a multi-use facility that truly empowers the entire community is its own form of innovation. It is certainly exceedingly rare. For more than forty years, BUILD was a community-based organization that held steady at a $2-4 million budget and a small administrative office and a partnership with a single school. However, in 2015, under the leadership of new CEO Adam Alonso and in response to drastic spikes in violence that summer, BUILD made the financial and strategic choice to start establishing physical program space, and make it available to as many partners as possible. A 10,000 square foot former Shore Bank building in Austin instantly became a community hub, hosting everything from neighborhood block clubs to Narcotics Anonymous meetings, full-time summer camps to year-round open mics for local teens. BUILD continued its intensive street outreach and violence interruption work, but we always knew that stopping conflict – while crucial and life-saving – was not by itself the same thing as building a lasting peace. Peace requires a healthy community of partners and neighbors coming together, and on the disinvested West Side, that needed infrastructure to gain a foothold and grow. Plans and community conversations around a much larger, transformative facility began in 2018, opening five years later.  
Having infrastructure allowed us to broaden the range of the services we offer in-house too, enabling us to connect each young person, family, or resident with an individualized, holistic suite of integrated services and engage their entire network, increasing chances for success.  
With programs ranging from mentoring, social-emotional learning, arts, sports, STEM, and college and workforce readiness to crisis response, case management, therapy, community outreach, and Restorative Justice, youth and their families can move seamlessly across a spectrum of services designed to meet their needs, with a warm handoff from trusted mentors.  
Third, an additional element of our innovative growth and impact is the quality and long-term engagement of our staff. Our mentors are key members of a passionate, diverse staff that lives in and reflects the cultures and experiences of our youth and families – this, along with BUILD’s deep roots and extensive partnerships in the neighborhoods we serve are central to our success. BUILD staff have walked in our youth’s shoes and continue to walk with them as long as they need us – sometimes even as colleagues and board members: BUILD prioritizes hiring former participants and helping them develop in their careers.  
Systemic change is taking root in Austin – after just one year of being open, in 2024 city data showed violent crime down 13% in a half-mile radius around our new headquarters, even as it increased 9% elsewhere in the neighborhood. 12 peacemaking partners now have affordable office space in the building, and on average, we host 25 partner events and meetings each month. With access to our space and our kitchen, our cafe partner (Momentum Coffee) was able to earn a grant from the city to train cohorts of other food entrepreneurs. Since BUILD opened its doors in February 2023, several other major real-estate development projects on the West Side have established their own momentum, from the Sankofa Wellness Village in Garfield Park and the Aspire Wellness Center on Madsion Street, to Habitat for Humanity’s first West Side building project.   
We believe that BUILD challenged the philanthropists and community investors of the city to look differently at the West Side: as a place full of young people who are worthy of investment, as a place that requires infrastructure to pull itself up. BUILD has put together a revenue portfolio that has allowed us to invest in infrastructure and back office capacity, allowing us in turn to support other small organizations as an at-cost landlord and fiscal agent and help them reach their own scale. This is another rare element to our mission: to truly break generational cycles, we all must rise together. If all we do is support our own growth without pulling partners up when we can, all we’ve done is increase inequity.</t>
  </si>
  <si>
    <t>BUILD, Inc. has a $2.5 million revolving line of credit with JPMorgan Chase. Cash flow is reviewed and maintained daily by the Controller and/or the CFO to monitor that there is an adequate cash flow, especially when it’s time to process payroll for youth and program staff. 
BUILD uses fiscal control and accounting procedures that are audited on an annual basis and ratified by our Board of Directors. Program Managers monitor program expenditures and approve all program expenses. All program staff members complete activity request forms for any fund allocations. BUILD's Chief Financial Officer (CFO) monitors all expenses and provides the CEO with monthly expense reports. The Director of Monitoring, Evaluation and Learning and CFO work collaboratively, and at minimum meet monthly, to ensure that spending is properly recorded, appropriately allocated and on-target as projected. Internal fiscal controls include: approval of expenses require the signature of requesting staff member, Program Manager, and Director; and check distribution requires signatures of two authorized signers. BUILD’s robust financial management system has successfully safeguarded funding awarded under city, county, state, and federal grants since 1969.
BUILD's current financial capacity allows us to expend funds prior to reimbursement. To ensure the sustainability of our programs and services, BUILD maintains long-term funding collaborations and continually establishes new relationships with private foundations and corporations, which ensure a consistent funding stream to sustain our activities and meet client needs. Likewise, BUILD maintains long-standing relationships with local government agencies and continues to forge new relationships at the state and federal levels. 
To ensure the sustainability of all BUILD’s programs and services, the organization maintains long-term funding collaborations and continually establishes new relationships with private foundations and corporations. Likewise, BUILD maintains long-standing relationships with local government agencies, and continues to forge new relationships at the state and federal levels. Strong relationships with state, city, and Cook County agencies such as Illinois Criminal Justice Information Authority, Illinois Department of Human Services, Chicago Department of Family and Support Services, Chicago Department of Public Health, and Cook County Justice Advisory Council, from which we receive multi-year funding, is a product of our strong track record of culturally relevant, effective service provision in the communities we serve. BUILD has been fortunate to benefit from a recent expansion in state, county, and city public funding for violence prevention, intervention, street outreach and mental health, through the federal American Rescue Plan Act, which has enabled us to grow these programs significantly.
BUILD is also fortunate to have a diverse set of revenue sources, with 59% of our FY24 budget projected to come from government grants; 12% from foundation and corporate grants; 14% from a capital reserve drawdown; 8% from individual donations and private giving vehicles; 5% from fundraising events, most significantly our Annual Gala; and 2% from earned income (Medicaid, space rental). Further, the organization is working to increase funding from individual donors, personal foundations/donor advised funds, and third-party fundraisers with the help of a robust communications strategy, which has enhanced our name recognition, enabled us to place stories in local and national media, and increased our donor base. BUILD implements these complementary strategies to ensure sustainability of our programs and services long after individual funding streams are exhausted.  
Finally, BUILD brought on a Chief Development Officer with extensive experience in securing major gifts. These strategies, combined with our expanding community network, help ensure programs have the capacity to expend funds prior to reimbursement, and that they continue after individual funding streams end.</t>
  </si>
  <si>
    <t>(for all BUILD programming)
SC2/Civic Committee 
Cook County Justice Advisory Council (ARPA Grant) 
Illinois Criminal Justice Information Authority (ICJIA), - Restore, Reinvest, Renew (R3) Program 
Private Individual Donor</t>
  </si>
  <si>
    <t>(for all BUILD programming) 
State of Illinois Legislative Allocations 
Office of Justice Programs (OJP) - STOP School Violence (BJA) 
Illinois Department of Human Services (IDHS) – Reimagine Public Safety Act (RPSA) 
US Department of Education - Talent Search/TRIO 
Private Individual Donor</t>
  </si>
  <si>
    <t>8-17</t>
  </si>
  <si>
    <t>https://www.jotform.com/uploads/Sol_Flores_sflores/242752736237461/6157930520322216151/BUILD%2C%20Inc._FY25%20Knight%20Impact%20Partners%20Request%20Budget.pdf
https://www.jotform.com/uploads/Sol_Flores_sflores/242752736237461/6157930520322216151/BUILD%2C%20Inc.%20-%202024%20IRS%20Determination%20Letter%2010.24.2024.pdf
https://www.jotform.com/uploads/Sol_Flores_sflores/242752736237461/6157930520322216151/BUILD%2C%20Inc.%20-%20FY25%20Organization%20Budget.pdf
https://www.jotform.com/uploads/Sol_Flores_sflores/242752736237461/6157930520322216151/BUILD%2C%20Inc._Executive%20Team%20Bios_2.18.2025.pdf
https://www.jotform.com/uploads/Sol_Flores_sflores/242752736237461/6157930520322216151/BUILD%2C%20Inc._FY23%20Audited%20Financial%20Statements.pdf
https://www.jotform.com/uploads/Sol_Flores_sflores/242752736237461/6157930520322216151/Compressed_BUILD_%20INC._2022_FY23_990_FINAL.pdf
https://www.jotform.com/uploads/Sol_Flores_sflores/242752736237461/6157930520322216151/FY25%20BUILD%2C%20Inc._Board%20of%20Directors_Grants.pdf</t>
  </si>
  <si>
    <t>https://www.jotform.com/uploads/Sol_Flores_sflores/242752736237461/6157930520322216151/PYD%20at%20BUILD.pdf
https://www.jotform.com/uploads/Sol_Flores_sflores/242752736237461/6157930520322216151/2023-24%20BUILD%20Annual%20Report.pdf</t>
  </si>
  <si>
    <t>Feb 12, 2025</t>
  </si>
  <si>
    <t>lellis@gagdc.oeg</t>
  </si>
  <si>
    <t>Greater Auburn Gresham Development Corporation</t>
  </si>
  <si>
    <t>36-4377387</t>
  </si>
  <si>
    <t>839 W. 79th Street</t>
  </si>
  <si>
    <t>Suite 400</t>
  </si>
  <si>
    <t>60620-2699</t>
  </si>
  <si>
    <t>https://www.gagdc.org/index.html</t>
  </si>
  <si>
    <t>Carlos</t>
  </si>
  <si>
    <t>Nelson</t>
  </si>
  <si>
    <t>cnelson@gagdc.org</t>
  </si>
  <si>
    <t>773.483.3696</t>
  </si>
  <si>
    <t>Lonyea</t>
  </si>
  <si>
    <t>Ellis</t>
  </si>
  <si>
    <t>Resource Development Specialist</t>
  </si>
  <si>
    <t>lellis@gagdc.org</t>
  </si>
  <si>
    <t>2003</t>
  </si>
  <si>
    <t>2</t>
  </si>
  <si>
    <t>40</t>
  </si>
  <si>
    <t>See attached</t>
  </si>
  <si>
    <t>The mission of Greater Auburn-Gresham Development Corporation (GAGDC) is to foster and promote revitalization of the low-to-moderate income communities that we serve in Chicago and South Suburban neighborhoods, by utilizing comprehensive community development strategies and initiatives to help maintain healthy, safe and sustainable neighborhoods where our families can thrive.</t>
  </si>
  <si>
    <t>Always Growing AG</t>
  </si>
  <si>
    <t>The Greater Auburn Gresham Development Corporation (GAGDC) is dedicated to fostering sustainable economic growth, improving health equity, enhancing educational outcomes, and strengthening community resilience in Auburn Gresham. Our work addresses the systemic barriers that impact historically underserved populations, ensuring long-term transformation at the individual, organizational, community, and systemic levels. 
Auburn Gresham, a resilient and vibrant community on Chicago’s South Side, has remained strong despite decades of disinvestment that once threatened its stability. Our neighborhood is built on a foundation of determination, pride, and a collective vision for growth. In recent years, residents, community leaders, and local businesses have helped ignite a renewal along 79th Street, our main commercial corridor, fostering new investments that are transforming the area into a thriving hub of opportunity.
Today, Auburn Gresham stands at a pivotal moment in its history. While we celebrate economic revitalization, improvements in retail and housing, and significant reductions in serious crimes, we recognize that sustained progress requires continued investment and innovation.
Key challenges remain:
An Aging Population: With six in ten homeowners over age 55, we must attract and support a new generation of families to ensure long-term neighborhood stability.
Educational &amp; Youth Development: Our schools and youth programs need continued investment to provide high-quality education, after-school enrichment, and career pathways for young residents.
Equitable Growth &amp; Housing Preservation: To sustain Auburn Gresham’s momentum, we must ensure that renewal reaches every corner of our community, preserving our historic homes, safe streets, and strong sense of place for generations to come.
By leveraging strategic investments, fostering inclusive economic development, and prioritizing community-led initiatives, Auburn Gresham is poised for a future that honors its legacy while building new opportunities for all who call it home.</t>
  </si>
  <si>
    <t>To measure progress toward our goals, GAGDC will utilize a robust set of quantitative and qualitative data collection methods that provide insights at each level of program impact. This approach ensures that we track progress comprehensively, adjusting strategies as necessary to achieve optimal outcomes. Below is a detailed breakdown of the information and tools that will be used to measure each goal:
1. Goal: Increase Access to Health and Wellness Services
Service Utilization Data: We will track the number of residents accessing services at the Healthy Lifestyle Hub and Healthy Lifestyle Campus, including appointments, screenings, and community health events. Intake logs and service utilization forms will provide detailed data on service reach.
Resident Satisfaction Surveys: After each service interaction, residents will be asked to complete a satisfaction survey assessing their experience, perceived quality of care, and likelihood of future engagement. A 90% satisfaction rate is targeted, with surveys analyzed quarterly.
Service Accessibility Tracking: Specific metrics, such as reduced travel time for services and increased use of the Rapid Resource Info Line (RRIL), will indicate improvements in healthcare accessibility for Auburn Gresham residents.
2. Goal: Empower Residents Through Job Training and Employment Services
Program Completion Records: The number of residents completing job training programs will be tracked and recorded, providing a clear metric of program participation. Participant records will capture the types of training and certifications achieved.
Employment Placement and Retention Rates: We will follow up with participants at 30, 60, and 90-day intervals to determine employment placement rates and job retention. Employer feedback and self-reported participant data will provide insights into job stability and performance.
Income and Employment Data: Information on participants’ income levels pre- and post-program will be collected to assess economic impact. This will include tracking changes in household income, employment status, and progression in job roles.
Soft Skills and Workforce Readiness Surveys: Surveys administered at program completion will evaluate participants’ confidence in workplace skills such as communication, conflict resolution, and interview preparation. These skills are essential for long-term employment success.
3. Goal: Strengthen Community Engagement and Cohesion
Event Attendance and Demographics: Attendance records for events like the 79th Street Renaissance Festival and biannual health fairs will provide quantitative data on engagement. Demographic information will also be gathered to ensure diverse participation.
Post-Event Surveys: Participants will complete post-event surveys to capture feedback on event quality, satisfaction, and sense of connection to the community. Surveys will assess whether attendees felt the event contributed to their understanding of available resources and their connection to Auburn Gresham.
Community Focus Groups: Periodic focus groups will be conducted to gather qualitative insights into residents’ experiences, needs, and perceptions of community connection. These groups will provide nuanced feedback that can guide event planning and engagement strategies.
RRIL Usage and Feedback: The number of residents using RRIL for information and resource access will be tracked, along with qualitative feedback collected during calls. This data will help gauge how effectively RRIL supports residents’ sense of connection and information access.
4. Goal: Enhance Organizational Capacity and Sustainability
Partnership and Donor Growth Metrics: We will measure progress by tracking the number of new partnerships established with local employers, healthcare providers, and community organizations. Additionally, we will monitor donor retention and growth rates as indicators of financial sustainability.
Volunteer Engagement: Volunteer numbers, hours contributed, and feedback will be tracked as an indicator of community investment in GAGDC’s work. Volunteer satisfaction surveys will further inform our understanding of volunteer needs and organizational strengths.
Financial Reports: Detailed financial reports will be used to monitor our revenue and expense management. This includes tracking funds raised from events, fee-for-service revenue, and, which collectively support organizational sustainability.
Data Collection Methods
Surveys and Questionnaires: Administered to residents, event participants, training program graduates, and staff members to capture feedback on satisfaction, perceived value, and impact.
Follow-Up Calls and Interviews: Conducted with job placement participants and RRIL users to assess long-term satisfaction, retention, and connection to resources.
Service Usage Logs: These will record the number of residents utilizing health, wellness, and employment services, providing quantitative data on engagement levels.
Data Analysis and Reporting: Monthly and quarterly analysis will be conducted to identify trends, assess progress, and make data-informed adjustments to program strategies.
Expected Progress and Benchmarks
The Greater Auburn Gresham Development Corporation (GAGDC) is committed to equitable economic growth, workforce development, and sustainable employment opportunities for Auburn Gresham residents. Our benchmarks are designed to drive measurable impact, ensuring that individuals and businesses in the community have the resources and opportunities they need to thrive.
1. Workforce Development &amp; Job Placement
50+ participants enrolled in workforce development programs annually
75% job placement rate for program graduates within six months
50% of placed participants earning a living wage or higher
Expansion of apprenticeships, internships, and on-the-job training programs with local employers
Establishment of at least three new employer partnerships annually to enhance job placement opportunities
2. Small Business &amp; Entrepreneurship Support
100+ small businesses served annually through technical assistance, funding, and mentorship
$2M+ in small business funding secured annually (grants, loans, and investments)
30% of supported businesses owned by women and minority entrepreneurs
3. Financial Empowerment &amp; Economic Mobility
100+ residents annually enrolled in financial literacy and wealth-building programs
50% increase in first-time homeownership rates among program participants within three years
Increase in Auburn Gresham’s median household income by at least 10% over five years
4. Community Investment &amp; Infrastructure Development
$20M+ in new capital investment secured annually for Auburn Gresham’s economic revitalization
Creation of at least 100 new permanent jobs annually through redevelopment projects
Expansion of energy-efficient, community-owned commercial and residential spaces to drive long-term wealth creation
Implementation of a Buy Local campaign to keep more dollars circulating within the community
These benchmarks provide realistic, measurable goals that align with GAGDC’s mission to foster economic resilience, create quality jobs, and generate long-term wealth for Auburn Gresham residents.</t>
  </si>
  <si>
    <t>See Attached Bio</t>
  </si>
  <si>
    <t>At the Greater Auburn Gresham Development Corporation (GAGDC), community engagement is a core pillar of our work. We believe that true transformation happens when residents are actively involved in shaping the future of their neighborhood. Through our signature events, health initiatives, and continuous dialogue with the community, we foster an inclusive and empowering environment that addresses key challenges while celebrating the rich culture of Auburn Gresham.
Key Community Engagement Initiatives
79th Street Renaissance Festival – 20 Years of Impact
As the longest-running, incident-free festival on Chicago’s South Side, this annual event attracts over 20,000 attendees, bringing together local businesses, performing artists, and organizations to celebrate the vibrancy of our community.
The festival serves as a resource hub, connecting residents with employment opportunities, financial literacy resources, and health &amp; wellness services while fostering a strong sense of pride and unity.
Bi-Annual Health Fair on the Block – Addressing Health Disparities
Recognizing the urgent need for equitable healthcare access, we host a health fair twice a year, serving over 200 residents with free health screenings, wellness education, and direct connections to medical professionals.
This initiative helps combat preventable diseases and health inequities, ensuring Auburn Gresham residents receive the care and information needed to lead healthier lives.
Ongoing Community Meetings, Roundtables &amp; Workshops
We provide a consistent platform for residents to voice concerns, contribute ideas, and collaborate on solutions through  roundtable discussions, and workshops.
These gatherings help us stay responsive to community needs, ensuring that our programs and advocacy efforts align with resident priorities.
By maintaining open lines of communication and prioritizing grassroots engagement, GAGDC ensures that our work is not just for the community, but led by the community. Whether through large-scale events, health initiatives, or policy discussions, we remain committed to uplifting Auburn Gresham—one resident, one business, and one initiative at a time.</t>
  </si>
  <si>
    <t>For this funding request, GAGDC has established partnerships with several key organizations to enhance the reach and impact of our Comprehensive Community Development initiatives:
University of Illinois Health (UI Health): UI Health is a primary healthcare provider within the Healthy Lifestyle Hub, offering essential medical services, including primary care and mental health support, to Auburn Gresham residents.
Urban Growers Collective: This organization collaborates on community wellness initiatives, providing urban agriculture training, food access programs, and nutrition workshops to promote healthy eating habits within the community.
Chicago Community Trust (CCT): As a funding partner and advocate, CCT supports our infrastructure and program expansion efforts, including technology upgrades and the establishment of the Healthy Lifestyle Campus along, and growing household wealth initiatives for Auburn Gresham residents.
LISC Chicago: LISC Chicago assists with securing funding and providing strategic guidance to ensure the sustainability of the Healthy Lifestyle Hub and its expansion into a larger campus.
These partnerships enhance our capacity to deliver holistic, community-driven health and wellness services, ensuring that our initiatives are not only accessible but also comprehensive, culturally responsive, and aligned with the evolving needs of residents. By integrating health resources with economic empowerment, education, and neighborhood revitalization efforts, we create sustainable solutions that promote long-term well-being and resilience within the community.</t>
  </si>
  <si>
    <t>At the Greater Auburn Gresham Development Corporation (GAGDC), we are deeply committed to equity, inclusion, and representation across all facets of our leadership, operations, and programs. Our approach is intentional, ensuring that the voices, needs, and aspirations of the Auburn Gresham community are reflected in the decisions we make and the services we provide. 
Our leadership team and board members are deeply rooted in the community and represent the diverse perspectives and lived experiences of the residents we serve.
GAGDC prioritizes racial equity in economic development by supporting minority-owned businesses, workforce training, and homeownership initiatives that help bridge the racial wealth gap.
We actively engage residents through regular community meetings, roundtable discussions, and public forums, ensuring that our programs are shaped by those who are most impacted by systemic inequities.
By embedding equity, inclusion, and representation into our leadership, operations, and programs, GAGDC ensures that our work uplifts, empowers, and transforms the Auburn Gresham community—creating a future where all residents thrive.</t>
  </si>
  <si>
    <t>At the Greater Auburn Gresham Development Corporation (GAGDC), we understand that transformative change stems from community-driven, innovative solutions that tackle the root causes of social and economic disparities. As part of our commitment to equity and access, GAGDC has been selected as a distribution hub for City Key identification cards, providing essential services such as Ventra cards, library access, and secondary identification for undocumented residents, seniors, and other community members in need.
Furthermore, through our Excellerator Fund initiative, developed in partnership with Latinos Progresando, we are redefining investment strategies in historically disinvested neighborhoods. By shifting decision-making power and financial resources directly into the hands of Black and Mexican communities, we are fostering sustainable, community-led economic growth.
Driving Innovative Systemic Change
Expanding access to identification and transit benefits through City Key, reducing barriers to mobility and essential services.
Redirecting capital to Black and Mexican neighborhoods through the Excellerator Fund, empowering grassroots organizations.
Building sustainable wealth by supporting minority-owned businesses, workforce development, and homeownership initiatives.
Strengthening social infrastructure by aligning investment with community-identified priorities to drive long-term prosperity.
These initiatives reflect GAGDC’s commitment to structural equity and inclusive economic development, ensuring Auburn Gresham remains a thriving, empowered community.</t>
  </si>
  <si>
    <t>To maintain financial stability and reduce dependency on any single funding source, GAGDC has established a multi-pronged revenue approach, which includes:
Fee-for-Service Models: Expanding revenue-generating programs that provide workforce training with our social enterprise Urban Green Team who provides debris removal, landscape, maintenance and beautification.
Grant Funding: Securing public and private grants from foundations, government agencies, and corporate partners to fund core initiatives in economic development, health equity, and community revitalization.
Fundraising &amp; Philanthropy: Hosting annual fundraising events, such as the 79th Street Renaissance Festival and annual gala, which engage corporate sponsors and individual donors.
Strategic Partnerships: Collaborating with impact investors and funders to leverage capital for neighborhood redevelopment, housing, and infrastructure projects. In January 2023, GAGDC hired its first Chief Financial Officer (CFO) to lead financial strategy and strengthen fiscal oversight. Our CFO: Manages our annual budget and financial forecasting, oversees annual audits to ensure compliance and transparency, and Implements risk management strategies to protect financial health.
By maintaining strong financial oversight, diversified funding streams, and strategic sustainability planning, GAGDC ensures that our work will continue to uplift Auburn Gresham for years to come.</t>
  </si>
  <si>
    <t>Illinois State Board of Education:1.5M
United Way of Metropolitan Chicago:$500,000
John D. &amp; Catherine T. MacArthur Foundation:$250,000</t>
  </si>
  <si>
    <t>Chicago Community Trust:$100,000
Builder's Initiative:$100,000
Polk Brothers Foundation:$40,000</t>
  </si>
  <si>
    <t>GAGDC provides services to K-12 students, young to middle aged adults and senior adults.</t>
  </si>
  <si>
    <t>95% of constituents served has an AMI of 80% and below.</t>
  </si>
  <si>
    <t>https://www.jotform.com/uploads/Sol_Flores_sflores/242752736237461/6152083347629185135/GAGDC%20Budget_2025%20%281%29.pdf
https://www.jotform.com/uploads/Sol_Flores_sflores/242752736237461/6152083347629185135/GAGDC_2024%20Financials%20as%20of%2012312024%20%281%29.pdf
https://www.jotform.com/uploads/Sol_Flores_sflores/242752736237461/6152083347629185135/GAGDC-501C3%20LETTER-2022%20%281%29%20%281%29%20%281%29.pdf
https://www.jotform.com/uploads/Sol_Flores_sflores/242752736237461/6152083347629185135/2024-Board%20Members%20List.pdf
https://www.jotform.com/uploads/Sol_Flores_sflores/242752736237461/6152083347629185135/Carlos%20Nelson-Bio1.pdf
https://www.jotform.com/uploads/Sol_Flores_sflores/242752736237461/6152083347629185135/Greater%20Auburn-Gresham%20Development%20Corporation%2012.31.23%20Issued%20FS.pdf</t>
  </si>
  <si>
    <t>Auburn Gresham</t>
  </si>
  <si>
    <t>scalenzani@hispanicfederation.org</t>
  </si>
  <si>
    <t>11</t>
  </si>
  <si>
    <t>emily@gcomer.org</t>
  </si>
  <si>
    <t>Xchange Chicago, Inc</t>
  </si>
  <si>
    <t>92-3697606</t>
  </si>
  <si>
    <t>7247 S. South Chicago Avenue</t>
  </si>
  <si>
    <t>Xchange Chicago</t>
  </si>
  <si>
    <t>60619</t>
  </si>
  <si>
    <t>https://xchangechicago.org</t>
  </si>
  <si>
    <t>Emily</t>
  </si>
  <si>
    <t>Emmerman</t>
  </si>
  <si>
    <t>Strategic Development &amp; Special Projects</t>
  </si>
  <si>
    <t>7734572142</t>
  </si>
  <si>
    <t>Jarquetta</t>
  </si>
  <si>
    <t>Egeston</t>
  </si>
  <si>
    <t>Managing Director</t>
  </si>
  <si>
    <t>jarquetta@xchangechicago.org</t>
  </si>
  <si>
    <t>3122741094</t>
  </si>
  <si>
    <t>2023</t>
  </si>
  <si>
    <t>Xchange Chicago’s senior staff consists of two individuals, a Managing Director and a Strategic Project Lead. Both individuals are Black and from the South Side of Chicago. The Managing Director is female and resides in Woodlawn, a neighboring community adjacent to Xchange. The Strategic Project Lead is male and resides in Grand Crossing. Xchange Chicago’s senior staff consists of two individuals, a Managing Director and a Strategic Project Lead. Both individuals are Black and from the South Side of Chicago. The Managing Director is female and resides in Woodlawn, a neighboring community adjacent to Xchange. The Strategic Project Lead is male and resides in Grand Crossing. The demographic make-up of the board of directors is two-thirds black and one-third female.  Two-thirds of directors reside in the community. They have backgrounds in financial services, corporate marketing and communications, youth and community development, and higher education.</t>
  </si>
  <si>
    <t>Xchange Chicago, led by the Comer Science &amp; Education Foundation and P33 Chicago, is a pioneering initiative aimed at advancing equity and inclusion in Chicago’s tech economy. Our mission is to create a more inclusive economy through innovative workforce solutions. By addressing the unique challenges faced by historically underserved neighborhoods, Xchange aims to empower residents with the skills and opportunities needed to access high-earning jobs in thriving tech sectors. Our place-based model provides access to quality education and skills development, fosters entrepreneurship, supports social mobility and wealth building, and drives community investment to equitably benefit all Chicago residents.</t>
  </si>
  <si>
    <t>Xchange taps into the talent, potential, and commitment within Chicago’s communities of color, leveraging the expertise of local organizations and community partners. Specifically, Xchange partners with minority-led IT suppliers who earn competitive contracts with companies looking to redirect some of their IT spend to train apprentices and create jobs that serve local communities.
Xchange’s target population are adults, young adults and opportunity youth who live in mid-South Chicago, including Greater Grand Crossing, Woodlawn, Washington Park, South Shore, Avalon Park, Englewood, Chatham and Auburn Gresham communities. The priority geography we are serving is approximately 400,000 residents. Our focus is on individuals from low-income households who are unemployed, underemployed and/or career changers (seeking upward mobility through upskilling).
The population in Greater Grand Crossing (GGC), where Xchange is located, is 35,000 people, 97% of whom identify as Black/African American. Most residents lack a four-year degree, a substantial barrier to employment, particularly in tech. Only 21% of Grand Crossing residents have a bachelor’s degree, 33% lower than the US average, and 50% lower than the Chicago metro area. The US Census and University of Chicago Medicine Community Health Needs Assessment of our service area have found that:
1.	Greater Grand Crossing is in the highest-ranking category for economic hardship and low child opportunity index;
2.	71% of households in our area have a median income of less than $37,000;
3.	40% of households receive food stamps;
4.	1 in 2 children live below the poverty line;
5.	55% of households possess a lack of economic stability; and 
6.	nearly one-quarter of our residents over the age of 16 are unemployed.     
Xchange’s focus on closing the opportunity gap is centered around three primary activities:
Key Activity 1: Leveraging Apprenticeship Models
We are offering alternative tech skill training pathways that require only a high school degree/degree equivalent. Our training is an effective onramp to enter into high-wage tech roles, leading to apprenticeships with on-the-job training, and competitive salaries. Training consists of nondegree training courses and 2- and 4-year institutions offering continued education paths into apprenticeship roles. Once an individual completes training, they are hired by employer partners as paid apprentices working on contracted IT projects. After a 9 to 12-month apprenticeship, individuals convert into permanent hires.
Key Activity 2: Building Wraparound Services for Supportive Onramps into Careers
Xchange offers wraparound support for individuals as they begin training and apprenticeships and start their path into tech careers, ensuring a holistic, sustained ecosystem of care. During training, individuals have access to supportive resources such as behavioral health and wellness services, financial literacy, transportation, and more. Xchange provides mentoring, career success coaching, and retention services to ensure professional development needs are met. Staff regularly check-in with participants and provide supportive services throughout training, apprenticeship, and employment.
Key Activity 3: Developing Business Anchors in Grand Crossing
Xchange’s inaugural site, a former warehouse building in Grand Crossing, has been renovated into a thriving commercial and retail hub where minority-led and mission-aligned businesses are contributing to neighborhood vitality. Two professional services tenants are leasing 80% of the building with office space for over 150 employees. The remainder of the building is dedicated for       new retail amenities such as catering operations and a café, and also space for community events, meetings and training. Xchange staff will be responsible for marketing the opportunities at Xchange and conducting outreach to ensure the potential economic benefits of the initiative are shared.</t>
  </si>
  <si>
    <t>Xchange Chicago aims to improve the quality of life of individuals and the community as a whole by creating new jobs and providing training and onramps to access lucrative tech careers. We will measure success by improved employment and job creation in the community that leads to economic mobility and wealth generation, increased diversity in the tech workforce and greater access to resources that strengthen communities.
In the near term, defined as the next three years of operation, our goal is to deliver 200 new jobs and $12 million dollars in new annual wages. We will accomplish this through earning commercial IT contracts that leverage apprenticeships as pathways to tech careers. We aim to secure at least 20 new contracts in three years. We will have a fully leased Xchange Grand Crossing building with at least 150 employees working onsite. We will have new retail enterprises, that help to expand businesses run by local entrepreneurs, that will train and employ individuals in culinary arts, urban agriculture and hospitality.
In the long term (seven to ten years from now), we will create over 1,000 new jobs and over $80 million dollars in new annual wages. We expect to realize impacts of a bustling micro-economy such as measurable increased household income, tax revenue generated, home ownership and additional new businesses or business expansions in the area. Other goals for the long term include increased civic participation, greater access to education and resources, and strengthened social networks and support systems within the community. Ultimately, improved health outcomes, better access to affordable housing and transportation, enhanced educational opportunity and overall prosperity that comes with increased earning potential will yield transformational change.</t>
  </si>
  <si>
    <t>See attachment named "Xchange Leadership Team_2025"</t>
  </si>
  <si>
    <t>Throughout the planning, strategy and execution stages, Xchange takes a collaborative approach by engaging local residents, business leaders, public officials, and community organizations.
Historically, the Greater Grand Crossing community has engaged in a shared effort to prioritize needs and build solutions. One important partner, Comer Education Campus, has led efforts to organize and mobilize action, block by block, in both a grassroots manner and also through more formal planning processes for more than twenty years. Numerous residents, local stakeholders and public officials have engaged in intensive community planning, including efforts facilitated with professional expertise such as the Urban Land Institute, Neighborhood Capital Institute and the City’s Department of Planning and Development. To date, Comer has leveraged capital assets including affordable housing, a vibrant youth center, college prep schools, a public library, a health clinic, an education al farm, and more. 
Xchange co-founder and key partner, P33, is committed to inclusively growing Chicago’s tech economy and has delivered numerous programs specifically dedicated to increasing diversity within the tech workforce and creating pathways for women and BIPOC founders to enter the tech ecosystem. Xchange relies on P33’s Tech Talent Consortium to identify the best training providers. P33’s high visibility in civic, corporate and philanthropic circles adds tremendous value and credibility to Xchange’s mission.
Another key partner, SDI Presence, a nationally certified Minority-Owned Business Enterprise, is the primary employer that deploys an apprenticeship model and uses commercial contracts to create opportunities for diverse talent to enter valuable careers in tech. SDI has serviced the Chicagoland area for over 25 years and is  committed to cultivating an inclusive environment that encourages individual perspectives to yield high- performing solutions, with multicultural values and partnerships that reflect the growing diversity of the communities they serve. SDI is dedicated to meeting minority financial goals in new and existing contracts, building MBE/WBE business partnerships, minority workforce recruiting, and creating a corporate culture that celebrates diverse perspectives, including a workforce that significantly represents minority inclusion.
In summary, Xchange embraces collaboration as a cornerstone of our approach, recognizing that by working together with stakeholders and partners, we can achieve greater impact and create lasting positive change in Greater Grand Crossing and across the South Side of Chicago.</t>
  </si>
  <si>
    <t>Our organization is committed to eliminating disparities and creating economic and social opportunities, particularly for communities of color on the South Side of Chicago, which have long faced systemic barriers to economic mobility.
Leadership: Xchange prioritizes diverse leadership that reflects the communities we serve. Our leadership team, board of directors and advisors are intentionally composed of individuals with lived experience and expertise in addressing racial and economic inequities. We actively seek out minority-led businesses and community leaders to inform our strategy, ensuring that decision-making is inclusive and community-driven.
Operations: Equity and inclusion are embedded in our organizational culture. Xchange fosters an inclusive workplace through intentional hiring, mentorship, and professional development opportunities for diverse talent. Our staff are educated on DEIA principles and trauma-informed practices to better serve community members. We also partner with organizations like the Comer Education Campus, which has a long-standing commitment to equity and community investment, to ensure that our work aligns with the needs and priorities of local residents.
Programs: Xchange implements workforce solutions that are both place-based and scalable, designed to integrate underrepresented populations into Chicago’s broader economic landscape. By focusing on minority-led businesses and diverse talent development, we provide pathways for generational wealth-building without relying primarily on philanthropy. Our programs actively engage stakeholders who have demonstrated a strong commitment to DEIA, ensuring that equity and inclusion are not just principles but measurable outcomes.
Through these intentional efforts, Xchange Chicago ensures that our leadership, operations, and programs drive meaningful change, fostering a more inclusive and prosperous future for all.</t>
  </si>
  <si>
    <t>Xchange Chicago is transforming workforce development by addressing the root causes of economic inequity—lack of access to high-growth careers, systemic exclusion from the tech sector, and disinvestment in low and moderate-income communities—through a place-based, industry-driven model. Unlike traditional workforce programs that focus on training without clear employment pathways, Xchange integrates training, apprenticeships, and direct job placement, ensuring long-term career stability in tech for underrepresented talent.
Our model challenges existing systems by shifting corporate hiring practices and redistributing economic opportunities to historically excluded communities. Instead of relying on traditional four-year degree pipelines, Xchange partners with MBE IT suppliers and major corporations to reallocate IT spending toward apprenticeship-based hiring. This approach creates sustainable career pathways for South Side residents while proving to employers that alternative talent pipelines can meet industry needs.
Xchange’s systemic impact extends beyond workforce development. By converting a former industrial warehouse into a tech and business hub, we are reversing decades of disinvestment, attracting professional service firms to relocate jobs into the Greater Grand Crossing community, and fostering entrepreneurship. This strategic redevelopment not only brings jobs but also revitalizes local economies, proving that inclusive growth models can drive lasting change in distressed areas.</t>
  </si>
  <si>
    <t>Xchange Chicago was founded by and continues to be led by two very well-established Chicago nonprofit organizations.  Both Comer and P33 have strong experience launching new nonprofits and strategically developing them through the early activation stages onto sustained financial stability.  Consequently, Xchange has the ongoing benefit of the existing leadership, personnel and collective assets of Comer and P33 while it establishes long-term independent operations.
Through its pioneering workforce model, Xchange has adopted a clear revenue stream to create new jobs opportunities supported by IT contracts.  Over time, portions of this revenue will be reinvested into Xchange’s talent development and programmatic operations, providing a unique, long-term mechanism for sustainability. 
The Civic Committee of the Commercial Club of Chicago launched the Business Diversity Initiative Task Force “to promote inclusive economic growth in the Chicago region, leveraging the buying power and employment opportunities created by our members.”   This coalition of 20+ businesses are seeking opportunities to shift 2.5% of their annual IT spend into Chicago communities.  Many of these companies are currently exploring with the Xchange how to most effectively shape the work behind these outsourced services.  Xchange has demonstrated success with its initial scopes of work and working with each business partner to scale its services.  Commercial or market driven revenue is a unique long-term strategy for sustainability and will help reduce the potential for continued reliance on philanthropy. 
Finally, income from Xchange building leases will sustain building operations. Both Comer and P33 continue to actively fundraise for the Xchange across the civic, philanthropic, and corporate communities. With staff dedicated to development at both organizations, teams will be leveraged to pursue additional funds for the Xchange until it is fully staffed.</t>
  </si>
  <si>
    <t>$5,000,000 from City of Chicago
$2,000,000 from McCormick Foundation
$900,000 from We Rise Together at Chicago Community Trust</t>
  </si>
  <si>
    <t>$500,000 from Learning Landscapes Challenge by Walton Family Foundation and Siegel Family Endowment
$100,000 from EY/United Way
$65,000 from Square One Foundation</t>
  </si>
  <si>
    <t>18-50</t>
  </si>
  <si>
    <t>https://www.jotform.com/uploads/Sol_Flores_sflores/242752736237461/6151978811472455920/Xchange%20Chicago%20501c3%20exemption%20letter.pdf
https://www.jotform.com/uploads/Sol_Flores_sflores/242752736237461/6151978811472455920/XCHANGE%20CHICAGO%2C%20INC_TAX%20RETURN%20_2023.pdf
https://www.jotform.com/uploads/Sol_Flores_sflores/242752736237461/6151978811472455920/Xchange%20Board%20of%20Directors%20and%20Officers.pdf
https://www.jotform.com/uploads/Sol_Flores_sflores/242752736237461/6151978811472455920/Xchange%20Leadership%20Team%20Roles%20and%20Bios_2025_6584.pdf
https://www.jotform.com/uploads/Sol_Flores_sflores/242752736237461/6151978811472455920/Xchange%20Audited%20FS_Dec%202024.pdf
https://www.jotform.com/uploads/Sol_Flores_sflores/242752736237461/6151978811472455920/Xchange%20Chicago%20FY25%20Operating%20Budget_final.pdf</t>
  </si>
  <si>
    <t>https://www.jotform.com/uploads/Sol_Flores_sflores/242752736237461/6151978811472455920/More%20about%20Xchange_Knight%20Attachment.pdf
https://www.jotform.com/uploads/Sol_Flores_sflores/242752736237461/6151978811472455920/Xchange%20Founding%20Theory%20of%20change_2022.pdf
https://www.jotform.com/uploads/Sol_Flores_sflores/242752736237461/6151978811472455920/one-pager_May2024.pdf</t>
  </si>
  <si>
    <t>Greater Grand Crossing</t>
  </si>
  <si>
    <t>erin@chicagohomeless.org</t>
  </si>
  <si>
    <t>Chicago Coalition to End Homelessness</t>
  </si>
  <si>
    <t>36-3292607</t>
  </si>
  <si>
    <t>70 E Lake St</t>
  </si>
  <si>
    <t>Ste 720</t>
  </si>
  <si>
    <t>60601</t>
  </si>
  <si>
    <t>www.chicagohomeless.org</t>
  </si>
  <si>
    <t>Doug</t>
  </si>
  <si>
    <t>Schenkelberg</t>
  </si>
  <si>
    <t>doug@chicagohomeless.org</t>
  </si>
  <si>
    <t>773.263.8578</t>
  </si>
  <si>
    <t>Erin</t>
  </si>
  <si>
    <t>Sindewald</t>
  </si>
  <si>
    <t>Associate Director of Development</t>
  </si>
  <si>
    <t>773.906.3438</t>
  </si>
  <si>
    <t>35</t>
  </si>
  <si>
    <t>CCH is strongly committed to building and sustaining a staff that reflects the community we serve. With three positions open in February 2025, our current staff are 41.2% white, 23.5% Latinx, 17.6% Black, 11.8% multi-racial, 5.9% Asian American/Pacific Islander, 62% female, 32% male, and 6% non-binary or no gender; 24% LGBTQ. Fourteen staff members (41%) have experienced homelessness. 
CCH's 27-member Board is 63% people of color (48% Black, 7% multi-racial, 4% Asian, and 4% Latinx). Four board members are LGBTQ (15%). Five Board members (19%) are formerly homeless, with two serving as current grassroots leaders.</t>
  </si>
  <si>
    <t>Chicago Coalition to End Homelessness (CCH) builds community power and advances racial equity through organizing, advocacy, legal assistance, and education. CCH strives to prevent and end homelessness across Chicago and Illinois because housing is a human right. We take the word “coalition” seriously, partnering with grassroots leaders with lived experience of homelessness, service providers, advocacy groups, and other community partners to create lasting change. Together, we work towards a world where everyone has a safe, welcoming, and permanent place to call home.</t>
  </si>
  <si>
    <t>CCH has organized and advocated to prevent and end homelessness since 1980, with our tactics evolving based on changing community needs. Today, CCH’s key issue areas include housing justice, youth homelessness, educational rights, reentry, public benefits, civil rights, and racial equity. We lead community outreach and strategic advocacy campaigns that address the immediate needs of people impacted by poverty while developing long-term solutions to homelessness.
Direct Service Work
Community Education &amp; Outreach: Through outreach, CCH educates people experiencing homelessness on their rights and options and engages those interested in advocacy. We write and distribute 20+ types of know-your-rights materials and offer free trainings to service providers and attorneys. Our Speakers Bureau, comprised of grassroots leaders who have experienced homelessness, educates about 2,000 people annually.
The Law Project: Ours is the only legal aid program in Illinois exclusively focused on the needs of people experiencing or at risk of homelessness. Legal staff also run Youth Futures, a mobile legal clinic for youth ages 14-24.
Edrika Fulford Mutual Aid Fund: Designed and managed by CCH grassroots leaders, the fund has distributed more than $500,000 in emergency grants to 1,100 households since 2020.
Horizons creative writing program: Offered on-site at shelters, participants develop story-telling skills while fostering community connection.
Scholarship Program: Provides renewable awards of $4,000 to high school seniors impacted by homelessness. 
Streetlight Chicago: Fully redeveloped in 2024, this free app and website connects unaccompanied youth to up-to-date resources. 
Policy &amp; Advocacy Work
CCH partners with advocacy organizations, service providers, and people with lived experience to drive local and statewide policy initiatives that address homelessness and increase funding for human services. 
CCH works to implement an annual legislative agenda that advances statewide policy solutions for housing, education, and public benefits. We also advocate for equitable budgeting and improvements to statewide housing programs. 
Our Bring Chicago Home campaign advocates for a dedicated revenue stream to create housing and services for people experiencing homelessness. 
The Reentry Project addresses housing and job barriers for justice-involved people. 
The Homeless Youth Committee mobilizes 30+ organizational partners, young people, and advocates to address the unique challenges of unaccompanied youth. 
A CPS Focus Group works to increase resources and improve services for students who attend Chicago Public Schools.
CCH manages a Homelessness Data Project which advocates for HUD to amend its definition of homelessness to include people living doubled-up to determine eligibility for services.</t>
  </si>
  <si>
    <t>Weekly all-staff and department meetings are held to strategize and evaluate CCH’s ongoing work. Each staffer creates individual goals at the start of each fiscal year, with an annual evaluation to review goal progress and discuss areas for growth. CCH has required all staff to include a racial equity goal as part of annual goal planning since 2019. Staff meet weekly with their supervisor. 
Development of our next strategic plan is nearing completion, with a public release planned for this spring. Staff, board, and grassroots leaders have worked in partnership to establish goals covering four broad levels of work: 1.) Centering people with lived experience, 2.) Sharing and building power, 3.) Culture and values, and 4.) Administration.
To assess and track its impact, the Law Project uses LegalServer. The online case management system is customized to track critical data, including client demographics, case outcomes, know-your-rights trainings, and outreach. Legal staff track the progress of its outreach and casework on a quarterly basis, with annual reports run in January and July for the prior calendar or fiscal year. 
Organizers use a log created in Microsoft Forms to track outreach to shelters, housing programs, and encampments. They track outreach to both people impacted by homelessness as well as with institutional partners, including providers, elected officials, and housing advocates.
In 2023 CCH transitioned to a new organization-wide database, EveryAction, to better serve the needs of policy, organizing, communications, and development. Organizers are currently working with CCH’s data manager to build out systems to further codify leadership development tracking.
Streetlight Chicago, a newly redeveloped app/website that connects unstably housed youth to resources, uses PostHog to monitor analytics and track impact.
CCH advocates for adequate resources for and policies to support people experiencing homelessness in Chicago and Illinois. Priorities are informed by issues raised during shelter outreach, ongoing engagement with grassroots leaders, and listening sessions with base members and service providers. To evaluate our advocacy efforts, we track metrics around the number of witness slips submitted, contacts with legislators, social media analytics, and media engagement. We also support the implementation of new laws to ensure they are working as intended.</t>
  </si>
  <si>
    <t>CCH combines organizing, policy advocacy, legal assistance, and community education to build power and make change. Our Management Team is made up of diverse group of professionals with varied skillsets and life experiences that together contribute to CCH’s shared success. 
Doug Schenkelberg, Executive Director
Doug Schenkelberg joined CCH in January 2016 with 15 years of experience directing public policy advocacy at Chicago non-profits, including Heartland Alliance for Human Needs and Human Rights. He joined CCH after two years serving as vice president of strategy and policy at Forefront, formerly the Donors Forum.
Throughout his career, Doug has collaborated with CCH staff and leaders on housing advocacy. While associate director of policy and advocacy at Heartland Alliance, Doug coordinated From Poverty to Opportunity campaign. This led legislators to form the Illinois Commission on the Elimination of Poverty in 2008, seeking to curb the number of people who live in extreme poverty. CCH partnered on the campaign, which held yearly listening sessions throughout Illinois. Later, campaign partners secured an increase in TANF cash assistance as well as lower co-pays for extremely poor working parents helped by the Illinois Child Care Assistance Program.
Doug also worked with CCH in advocating for a statewide rental housing support program, enacted in 2005 to assist 2,400 households a year. Doug has worked for the Lawyers’ Committee for Better Housing as director of housing and advocacy, and later, associate director. He also worked with CCH when the Lawyers’ Committee and Sargent Shriver National Center on Poverty Law sought legislative approval to amend the Illinois Human Rights Act. Poverty advocates sought to have the human rights act bar housing discrimination based on source of income, such as housing vouchers.
Doug began his career at the Chicago Mutual Housing Network, directing housing development and training. He later directed advocacy and outreach at the Greater Chicago Food Depository. He serves on the Board of Directors for Illinois Partners for Human Service and helped launch the Nonprofit CEO Roundtable and Nonprofit Impact Awareness Fund at Forefront. A fellow in Leadership Greater Chicago’s 2019 class, Doug was named to Governor-elect J.B. Pritzker’s transition committee on human services. Doug earned a bachelor’s degree in religious studies from Grinnell College and a master’s in urban planning and policy from the University of Illinois-Chicago. 
Wayne Richard, Director of Organizing
Wayne Richard was named director of CCH organizing in 2018. On the organizing staff since 2000, Wayne previously served as the Associate Director of Organizing overseeing training. Wayne first got involved at CCH when he was experiencing homelessness, living in a West Side shelter that participated in a CCH writing outreach program. It helped the Mendel High School grad develop as a poet, publishing several pieces and participating in poetry slams. Wayne was invited to join the organizing staff after a year of community leadership. In 2007, he revived the writing outreach program, renamed Horizons, bringing it into family shelters with an annual writers’ showcase hosted by the American Writers Museum. Wayne has led more than 60 retreats as a trainer for the Ignatian Spirituality Project and serves on its Board. 
Patricia Nix-Hodes, Director of the Law Project
Patricia Nix-Hodes has more than 30 years of legal experience in education, housing and employment issues affecting people experiencing homelessness. She joined CCH in 1998 as associate legal director and was named legal director in 2014. Before CCH, Patricia worked in San Francisco’s U.S. appellate court and on the Homeless Advocacy Project at LAF. Patricia graduated with honors from DePaul University Law School, where she served as a Law Review editor and legal research assistant. Patricia also has a bachelor’s in accounting from Creighton University. Named a Lincolnland Legend by Illinois Dollars for Scholars, she received the 2015 Community Advocacy award from the American Educational Research Association. In 2018, Patricia received The Chicago Bar Foundation’s career achievement award, the Morsch Public Service Award. 
Niya Kelly, Director of State Legislative Policy, Equity and Transformation 
Niya Kelly was promoted to the management team in fall 2017, after two years as a policy specialist overseeing Springfield advocacy and CCH’s Youth Committee, comprised of 38 homeless youth agencies. Her efforts include enacting 2017’s Three Steps Home legislative package focused on homeless and at-risk youth and recent bills broadening access to SNAP food assistance for low-income community college students. Niya studied at Chicago’s Loyola University, earning a bachelor’s in political science and women’s studies, a master’s in women’s and gender studies, and a law (J.D.) degree in 2013. She has worked as an attorney for the Cook County Circuit Court’s child protection unit and for Chicago Legal Advocacy for Incarcerated Mothers. A volunteer for the Chicago Board of Elections, Niya was a 2019 fellow at Chicago United for Equity.
Mary Tarullo, Director of City Policy
Mary Tarullo joined CCH in 2017 as the Associate Director of Policy and Strategy. In this role, she co-staffed the Bring Chicago Home coalition, working with coalition partners, elected officials, service providers, and interfaith leaders to advance the work of the coalition. Prior to CCH, Mary worked for 12 years as an organizer with a focus on affordable housing. Much of that time was spent at ONE Northside, where she staffed the Single Room Occupancy (SRO) Team’s successful SRO Preservation Ordinance campaign. The team’s work won the LISC Chicago Neighborhood Development Award as well as the Law Center for Better Housing Barbara Grau Tenant Advocate Award. She holds a bachelor’s degree in English from Grinnell College and was promoted to Director of City Policy in April 2024.
Claire Sloss, Director of Strategic &amp; Policy Communications
Claire Sloss returned to CCH in 2025, after previously serving for nearly a decade on the Development and Communication teams. During her previous tenure, she managed and expanded CCH’s digital presence, enhanced targeted outreach to donors and supporters, and supported key policy and organizing campaigns, including HomeWorks and Bring Chicago Home, through strategic communications efforts. In 2022, she joined the small by mighty team at the newly established Housing Narrative Lab, where she helped bring narrative change training and resources to both grassroots and national partners in the housing sector. Claire also worked in Marketing and Communications at the Children First Fund, the Chicago Public Schools Foundation. She holds a Bachelor of Arts in Sociology from the University of Notre Dame and a Master’s in Public Policy from the University of Chicago.
Thelma Morales, Administrative Director
Thelma Morales has worked at CCH since 2000. An experienced administrative director and bookkeeper, she studied education at the University of Illinois-Chicago. Thelma is fluent in Spanish and was a five-year member of the Local School Council at John M. Palmer Elementary School.
Michael Nameche, Director of Development
Michael Nameche rejoined CCH in 2006 after 10 years as executive director of Rock For Kids, where he mobilized volunteers to fundraise for music programs that served 1,500 children a year. After earning a bachelor’s in English from Drake University, Michael began is development career at CCH as an assistant. His work focuses on special events, donor relations, and managing the Associate Board.</t>
  </si>
  <si>
    <t>At CCH, we believe that those closest to the problems are closest to the solutions. Our community organizers work to develop leadership skills in people who have experienced homelessness, preparing them to be their own advocates on the issues impacting their lives. 
CCH’s grassroots leaders help decide campaign strategy, speak to the media and government officials, and serve on leadership committees tasked with overseeing CCH initiatives. These decision-making tables include Bring Chicago Home (focused on securing dedicated revenue to address homelessness at scale), the Reentry Project (organizes people impacted by the criminal legal system), the Edrika Fulford Mutual Aid Fund Governance Committee (manages biannual emergency grants to Illinois households), the CPS Focus Group (advocates for students experiencing homelessness), the State Grassroots Leadership Table (focused on housing issues in the collar counties and downstate), and the Speakers Bureau (leaders educate community members by sharing their stories). Other spaces where leaders hone new skills include a youth core group – currently focused on culturally competent mental health services – and Horizons, a shelter-based creative writing program. 
In addition to our grassroots leadership model, CCH staff engage community members through extensive outreach at shelters, housing programs, schools, and tent cities. Through outreach, we connect people to resources – including legal assistance – engage those interested in advocacy, and learn firsthand what challenges people experiencing homelessness are facing. In turn, this work informs CCH’s ongoing advocacy priorities and strategies while improving our service delivery. 
Some examples of using community feedback in programming and decision-making include: At the request of our legal clients, the Law Project began providing family law services in 2021 through an Equal Justice Works Fellowship. The position became permanent in 2023. The Law Project recently updated two of our educational rights know-your-rights materials to use plain, non-technical language, based on feedback from the CPS Focus Group. Our CCH scholarship program selection committee shifted to 100% representation from former scholarship students in 2023. CCH recently relaunched a fully redeveloped Streetlight Chicago, an app/website which was conceived and developed in collaboration with the app’s intended users. More than 30 youth were involved in the discovery and redevelopment process, with plans to continue engagement through surveys and focus groups.</t>
  </si>
  <si>
    <t>CCH works in partnership with several regional networks, collaborating closely with direct service and advocacy organizations and coalitions.
The Law Project provides outreach at shelters/drop-ins run by Broadway Youth Center, Center on Halsted, Covenant House, Ignite, La Casa Norte, The LYTE Collective, The Night Ministry, and Unity Parenting &amp; Counseling. CCH organizers conduct regular outreach at more than 30 shelters and housing programs. 
Launched in 2012, CCH’s State Network mobilizes a table of 30+ housing providers, homeless agencies, and Continuums of Care in 15+ suburban and downstate communities. 
Our Reentry Project joined with allies in 2015 to start the Restoring Rights and Opportunities Coalition of Illinois (RROCI), working presently with Cabrini Green Legal Aid.
CCH is the convening organization for the Bring Chicago Home Coalition and sits on its Steering Committee alongside Chicago Teachers Union, Communities United, JCUA, ONE Northside, SEIU-HCII, Southside Together, and United Working Families.
Active since 1983, the Youth Committee is a statewide network of 30+ providers focused on addressing youth homelessness. 
CCH belongs to the 10-member Grassroots Collaborative, co-founded in 1999, and co-chairs the Responsible Budget Coalition, a group of 100+ statewide organizations advocating for adequate and progressive revenue. 
CCH staff are also represented on the City of Chicago’s Five-Year Plan to End Homelessness Steering Committee, the board of the Chicago Low-Income Housing Trust Fund, and the Flexible Housing Pool Advisory Board.
CCH remains a coalitional organization – one that recognizes that we build power and impact through collaboration and community organizing with the people who are most impacted.</t>
  </si>
  <si>
    <t>CCH created its Racial Equity Committee (REC) in 2016, which meets monthly. Equity work is overseen by the Director of State Legislative Policy, Equity and Transformation, Niya Kelly. REC subcommittees include Policy, Staff Engagement, Hiring &amp; Compensation, and Evaluation. Committees are trained on using a Racial Equity Impact Assessment (REIA). CCH has engaged in monthly racial caucusing since 2020.
In 2020, CCH’s Board of Directors created a racial equity committee, with its co-chairs named to the executive committee. In 2021, the Board approved a Compensation Philosophy for the organization. This policy includes a commitment to provide pay/benefits above market rates and a wage floor linked to the “housing wage” established by the National Low Income Housing Coalition. It also provides criteria around annual cost-of-living-adjustment (COLA) increases, starting salaries, merit raises, transparency around benefits and salary ranges, and changes in position (both promotions and lateral moves). 
In 2023, CCH overhauled its annual performance review process to codify a system for merit-based raises and promotions. This included the creation of a salary range chart for all positions across the organization – which is tied to the housing wage – as well as new evaluation criteria for the review process. The new performance evaluation system, which was built into CCH’s HR system, was used for the first time last summer. Annual goals are now recorded within the HR system in order to better evaluate progress throughout the year.
Long-time Intake &amp; Support Manager Christy Beretta transitioned to a newly created role at CCH in 2024, now serving as Senior Manager of Equity &amp; Transformation. Christy manages CCH’s Racial Equity Committee and supports improvements to our onboarding and offboarding processes. As part of annual goal setting, this year all CCH staff are required to use a newly developed racial equity tool to evaluate a program or project that they oversee.</t>
  </si>
  <si>
    <t>CCH’s work is unique in its approach to centering the needs and voices of the people most impacted. This is seen in our grassroots leadership model – which develops people with lived experience to guide CCH advocacy – and a staff in which 41% of the team has been homeless. CCH’s next strategic plan will reinforce this commitment through a named focus on “centering with people with lived experience” and “building and sharing power.” Recognizing that process must be considered alongside outcome, our strategic plan tactics will focus not just on the “what” we aspire to accomplish, but the “how” – with the aim of continuing to integrate racial equity in all that we do.
As a systemic advocacy non-profit, CCH is committed to addressing the root causes of social issues and reforming (or rebuilding) community structures to better serve the people they purport to help. We do this through policy advocacy at the city and state levels, organizing directly impacted people to build power and challenge the status quo, and through impact litigation led by attorneys with our Law Project.
CCH’s track record of systemic impact is an effective one. Over the years, we’ve led many wins with long-term impact, including securing funding for the first five shelters serving homeless youth in the state (1986), securing funding from HUD to provide 165 units for homeless families in the government-subsidized Presidential Towers complex (1994), establishing the statewide Homeless Prevention Program (2000) and Rental Housing Support Program (2005), and allocating funds for affordable housing in the Illinois capital budget for the first time (2009). 
In 2013, CCH successfully advocated for the passage of the Illinois Bill of Rights for the Homeless Act, which provides various protections to prevent discrimination of people without a fixed or regular residence. To date, we have successfully litigated or negotiated three Homeless Bill of Rights cases. These efforts secured financial settlements for unsheltered clients whose belongings were unlawfully thrown away.
CCH has also secured increased funding for Chicago’s TIF Purchase-Rehab program (2014) and helped launch the city-run Families in Transition (FIT) program, which provides permanent supportive housing for 100 formerly sheltered and doubled-up families from six South and West Side elementary schools (2018). CCH currently leads the Bring Chicago Home campaign, which seeks to secure a dedicated revenue stream to support permanent housing with services.
The Law Project recently co-counseled three impact litigation cases (two closed favorably, one ongoing) with the potential to reduce racial discrimination and/or systemic exclusion through monetary support and/or injunctive relief. With the ACLU and Porter Wright, CCH reached a favorable agreement in 2023 on behalf of a client who was physically assaulted, falsely arrested, and detained by the Chicago Police Department while cleaning up property damage at her place of employment in the wake of George Floyd’s murder. With the Shriver Center and Hughes Socol Piers Resnick Dyme, in 2023 CCH successfully settled a federal Fair Credit Reporting Act case on behalf of a client who was denied subsidized housing due to an inaccurate and misleading criminal background report. 
With Access Living and Porter Wright, CCH’s Law Project continues to co-counsel Carter v. City of Chicago on behalf of a client denied access to a Chicago shelter when she was unable to step into the city-run van tasked with bringing her to a shelter. We are seeking compensatory damages and injunctive relief to make Chicago's shelter system accessible for people with mobility disabilities.
Last legislative session, CCH’s shared advocacy helped secure increases to the Homeless Youth and Homelessness Prevention Program line-items in the FY24 state budget. CCH and partners passed new laws to support students experiencing homelessness and strengthen tenants’ protections. CCH’s Law Project also led efforts to file an amicus brief in the U.S. Supreme Court Case Grants Pass v. Johnson, in collaboration with the law firm of Much Shelist, Legal Council for Health Justice, and the Law Center for Better Housing.</t>
  </si>
  <si>
    <t>CCH ended FY 2024 with reserves equal to 23 months of expenses. Our audit shows diversified support, 62% from individuals, 24% from foundation/corporate grants, 4% special events, 7% investments and 3% earned income/other. A 4-star rating from Charity Navigator grades CCH at 100% for finances and fiscal transparency.
CCH’s FY25 budget grew by 8.34%. Most of the increase is due to a net payroll and benefits increase of $479,613 to cover cost-of-living increases, new hires, and an increase in the salary pool to cover merit raises. Other increases include $26,439 for consultants to support the new CCH website/rebrand and Streetlight Chicago, $17,525 to cover increases to IT services and our EveryAction database, $11,400 for increases in scholarship awards, and $9,175 for advertising CCH’s rebrand and Streetlight Chicago. This budget also reflects a $81,573 decrease in other line items from FY24.
Our Development Department works closely with the executive director and Board of Directors to steward existing donor partnerships and build new relationships with individual and institutional constituencies who are committed to ending homelessness in Illinois. CCH has earned sustained support from many respected foundations. General operations support includes long-time grants from Crown Family Philanthropies, The Chicago Community Trust, Woods Fund Chicago, and Polk Bros. Foundation.</t>
  </si>
  <si>
    <t>1.	Anonymous Individual: $250,000  (FY25)
2.	Crown Family Philanthropies: $170,000  (FY25)
3.	Anonymous Family: $100,000  (FY25)
CCH does not accept government funding and has no public funding sources.</t>
  </si>
  <si>
    <t>1.	Crown Family Philanthropies: $250,000 (FY26 – request pending) 
2.	Polk Bros. Foundation: $64,000 (FY25 – awarded)
3.	Payne Family Foundation: $60,000 (FY25 – renewal request planned)
CCH does not accept government funding and has no public funding sources.</t>
  </si>
  <si>
    <t>CCH works with people experiencing homelessness of all ages. Some of our programs and advocacy are specifically geared towards unaccompanied youth ages 14-24.</t>
  </si>
  <si>
    <t>Black / African American
Latino/x/e / Hispanic
Multiracial / Mixed</t>
  </si>
  <si>
    <t>Man
Woman
Non-binary</t>
  </si>
  <si>
    <t>https://www.jotform.com/uploads/Sol_Flores_sflores/242752736237461/6151952311893467670/FY25%20CCH%20Budget%20one%20page%20format.pdf
https://www.jotform.com/uploads/Sol_Flores_sflores/242752736237461/6151952311893467670/CCH%20IRS%20Letter%20-%20updated.pdf
https://www.jotform.com/uploads/Sol_Flores_sflores/242752736237461/6151952311893467670/FY24%20CCH%20Audited%20Financials.pdf
https://www.jotform.com/uploads/Sol_Flores_sflores/242752736237461/6151952311893467670/CCH%20FY%202024%20Form%20990.pdf
https://www.jotform.com/uploads/Sol_Flores_sflores/242752736237461/6151952311893467670/CCH%20FY25%20Board%20of%20Directors%20List%20-%20updated%202025.2.pdf
https://www.jotform.com/uploads/Sol_Flores_sflores/242752736237461/6151952311893467670/FY25%20CCH%20Management%20Team%20Bios.pdf</t>
  </si>
  <si>
    <t>https://www.jotform.com/uploads/Sol_Flores_sflores/242752736237461/6151952311893467670/CCH%20CY23-Annual%20Report.pdf</t>
  </si>
  <si>
    <t>carolina@franoutreach.org</t>
  </si>
  <si>
    <t>Franciscan Outreach</t>
  </si>
  <si>
    <t>362928835</t>
  </si>
  <si>
    <t>1101 W. Adams Street</t>
  </si>
  <si>
    <t>suite A</t>
  </si>
  <si>
    <t>60607</t>
  </si>
  <si>
    <t>www.franoutreach.org</t>
  </si>
  <si>
    <t>Sally</t>
  </si>
  <si>
    <t>Berkhia</t>
  </si>
  <si>
    <t>Director of Development and External Affairs</t>
  </si>
  <si>
    <t>sally@franoutreach.org</t>
  </si>
  <si>
    <t>773-278-6724</t>
  </si>
  <si>
    <t>Cari</t>
  </si>
  <si>
    <t>O'Brien</t>
  </si>
  <si>
    <t>Grants and External Affairs Manager</t>
  </si>
  <si>
    <t>1963</t>
  </si>
  <si>
    <t>114</t>
  </si>
  <si>
    <t>Staff Demographics (out of 114 full-time employees):
Race- 79% Black/African American, 10% Hispanic/Latino, 8% White, 2% Prefer not to disclose, 1% Two or more races 
Gender- 52% Male, 48% Female 
Board Demographics (out of 13 members):
Race- 100% White
Gender- 85% Male, 15% Female
Franciscan Outreach is governed by a Board of Directors composed of 13 individuals from the Chicagoland area, including attorneys, doctors, financial and insurance professionals, and religious leaders. As part of our commitment to Inclusion, Diversity, Equity, and Access, the board is taking proactive steps in our recruitment to increase diversity by drawing on a multiplicity of experiences and backgrounds.</t>
  </si>
  <si>
    <t>Franciscan Outreach is a leading 501c3 nonprofit organization dedicated to serving Chicago’s unhoused community. With over 60 years of experience, we operate a comprehensive system of support for individuals currently experiencing or at imminent risk of homelessness. Our mission is to provide healthy meals, safe shelter, and critical services that affirm the dignity of individuals who are marginalized and homeless and empower them to gain the stability they need to transition into permanent housing. Our vision is to ensure a positive path forward for people who are marginalized and homeless so they can gain stability and thrive in permanent housing. Our programs address immediate basic needs for food and shelter while providing comprehensive case management services that are crucial for housing success and overall well-being. Each day, we guide and empower our guests toward transformative change, while advocating for housing, food security, health care, and employment.
Rooted in the Franciscan tradition of joy, gratitude, and compassion for those in need, everyone who enters our doors is welcomed as a guest of Franciscan Outreach and treated with dignity and respect. Our story began in 1963 when Fr. Phillip Marquard, a Franciscan friar, opened a halfway house on Chicago’s west side, as an outreach program for ex-offenders transitioning out of prison without a place to go. These men were offered housing, meals, job opportunities, and medical support to help them rebuild their lives. Since our founding, we have expanded significantly to address the growing demand for our services. When the agency began, we served 16 individuals from one location. Today, we operate six service sites, including the largest shelter on Chicago’s west side. Last year we supported over 3,500 guests, served more than 260,000 meals, provided over 108,000 nights of shelter, engaged 1725 guests in case management services, and helped 239 guests achieve more stable living conditions, including permanent housing of their own. As our scope of services continues to grow to meet the evolving needs of those who depend on us, we maintain our steadfast commitment to serving with compassion, dignity, and respect.</t>
  </si>
  <si>
    <t>General Operations</t>
  </si>
  <si>
    <t>PRIMARY FOCUS
In recent years, we have seen a rapidly growing homelessness crisis in Chicago. According to The Chicago Coalition for the Homeless 2024 Point-in-Time (PIT) Count, an alarming 18,836 individuals were experiencing homelessness in Chicago on any given day last year. This significant increase from the 6,139 reported in 2023, comprised of additional Chicagoans seeking shelter and the influx of asylum-seeking new arrivals underscores the demand for additional homeless services in our city to address this rapidly growing need. 
Homelessness is a multifaceted and complex issue with a variety of systemic barriers contributing to its prevalence. A severe shortage of affordable housing, poverty, limited economic opportunities, inadequate access to healthcare services, and involvement with the justice system are among strong predictors and root causes of homelessness. These challenges are often exacerbated by personal vulnerabilities, including chronic health conditions, sudden illness, disability, mental health issues, substance use, unemployment, food insecurity, trauma, exposure to violence, and more. Furthermore, there are substantial racial disparities in homelessness, disproportionately impacting Black and Brown communities at an alarming rate-- According to the National Alliance to End Homelessness, despite making up only 29% of Chicago’s population, over 75% of individuals experiencing homelessness in Chicago are Black, a trend that is reflected in the population served by Franciscan Outreach. 
The right to housing is not just a matter of social justice; it also significantly affects overall health and well-being. A lack of safe and stable housing often results in illness, injury, and poor nutrition, placing unhoused individuals at a greater risk of adverse health outcomes, including avoidable permanent disability and premature death. According to the National Institutes of Health, the average life expectancy of a person experiencing homelessness is 17.5 years shorter than that of the general population, underscoring homelessness as a significant and pressing health issue faced by this disadvantaged population. As the largest provider of homeless services on Chicago’s west and near south sides, and the second largest in the city, Franciscan Outreach plays an essential role in meeting the needs of the city’s most under-resourced residents, offering access to essential, life-saving services for those facing the greatest challenges. Every year, thousands of individuals depend on us for food, shelter, and essential resources to achieve stable housing and overall wellness. 
TARGET POPULATION
Franciscan Outreach serves individuals aged 18 and older who are currently experiencing or are at imminent risk of homelessness across Chicago. The population we serve includes some of our city’s most under-resourced, vulnerable, and marginalized individuals. Facing a range of complex and overlapping hurdles, our guests are among those most likely to be excluded from receiving the care and support they desperately need. Often isolated, they face multiple challenges that contribute to their homelessness and make securing or maintaining housing more difficult. Many are withdrawn, have experienced complex traumas, are accustomed to public mistreatment, or are not yet ready to address the challenges that led to their homelessness. Others may recognize their obstacles but lack awareness of available resources or how to access them. 
The majority of our guests previously resided in places unsuitable for habitation, encountering numerous health and safety concerns. In addition to the severe shortage of affordable housing in Chicago, many of the guests we serve face numerous complex barriers to housing stability, including poverty, unemployment, untreated mental and physical health issues, substance use disorders, complex trauma, exposure to violence (including domestic violence), involvement with the criminal justice system, and more. These challenges along with systemic barriers and social determinants of health often prevent those with the greatest need from accessing essential services critical for achieving housing stability, thus leading to homelessness in many cases.
Experiencing homelessness is a traumatic and challenging situation, and transitioning out of homelessness can be a complex and lengthy process. According to The Chicago Continuum of Care, the average time from a housing referral to moving into permanent housing is 84 days; however, for single adults, it can take significantly longer. Moreover, due to longstanding trauma, for many, it can take months or even years to develop trusting relationships and fully engage in services to begin the lengthy process of securing a housing referral. Franciscan Outreach recognizes these substantial challenges to obtaining permanent housing. We bridge the gap between homelessness and permanent housing placements by creating a trusting and secure environment that fosters stability and helps guests remain connected to services with an equitable path toward overall wellness. 
DEMOGRAPHICS AND IDENTITIES OF OUR 3547 GUESTS SERVED IN 2024:
Race- 79% Black/African American, 10% White, 8% Latino/Hispanic, 1% Asian, 1% Indigenous, 1% Pacific Islander
Gender- 74% male/male-identifying, 26% female/female-identifying
Age- 5% 18-24, 62% 25-54, 33% 55+
99% of guests are low-income and are below 30% AMI (area median income)
58% of guests reported no income whatsoever 
58% have a disability
2% are Veterans
KEY PROGRAMMATIC ACTIVITIES
Recognizing that navigating health and human services can be extremely challenging, Franciscan Outreach offers low-barrier access to vital, trauma-informed, and evidence-based programs and services. We assist vulnerable individuals who depend on us to help achieve their housing and wellness goals so they may reach their fullest potential. Every day, we provide healthy meals to the hungry, a warm bed for those in need of shelter, and critical resources for those seeking guidance and support. Our comprehensive array of programs includes Emergency Shelter, Case Management, Rapid Rehousing, Day Program, and Medical Respite Care.  
Emergency Shelter:  
Franciscan Outreach operates three shelters on the west and near south side of Chicago: 1) Harrison Shelter in North Lawndale: 239 beds, open 24/7 for men and women. 2) Annex Shelter in East Garfield Park: a 70-bed overnight shelter for men only. 3) Pilsen Navigation Center in the Lower West Side: 40 beds, open 24/7 for people transitioning from tent encampments, where couples can stay together, and is one of the few shelters that accommodates pets. Our shelters provide a secure and stable environment, reducing exposure to health and safety risks associated with living outdoors, along with comprehensive supportive services aimed at creating positive changes in our guests’ lives. When guests arrive at our shelters, we complete an extensive intake process that is entered into the Homeless Management Information System (HMIS). This provides access to Chicago’s Coordinated Entry System (CES), helping connect guests to permanent housing. While at our shelters, guests have use of our facilities to meet their daily needs, including showers, clothing, and laundry. They receive a personal mailing address and, most importantly, a safe place to sleep with three meals a day. Once immediate needs are met, we offer guidance, support, and resources to assist guests in transitioning to their own homes and improving their overall well-being. To address various health concerns identified during intake and beyond, we provide on-site medical and mental healthcare services at our shelter clinic, as well as referrals to specialized services.   
Case Management: 
Once guests feel safe and secure, we connect them to a member of our case management team who works collaboratively with each guest to create an individualized roadmap to stability, housing, employment, and wellness. They provide ongoing support to address longstanding hurdles that may have prevented guests from accessing or maintaining housing in the past, ensuring they have the tools for long-term success. Case managers provide outreach, assessments, crisis intervention, housing and income support, and more. To address various concerns including untreated medical/mental health conditions, substance use disorders, unemployment, legal issues, and more, we coordinate specialized referrals through our robust network of community partners. As trained Skilled Assessors with the CES, our case managers are equipped to help connect guests to permanent housing opportunities that are right for them. They support each guest throughout the entire process, from establishing housing eligibility to identifying available units, to moving in and beyond. This often starts with assisting guests in obtaining ID cards and vital documents, scheduling and attending appointments, completing paperwork, and once a unit has been secured, we help them acquire furniture, household items and provide move-in assistance.
At Franciscan Outreach, 99% of our guests are low-income, with more than half reporting no income at all. For individuals with little to no income who are trying to exit homelessness, the inability to afford basic necessities creates a significant barrier to stability and securing housing. As part of Case Management services, our Client Assistance Fund provides financial support for essential, yet often cost-prohibitive expenses that can ultimately be the difference between housing and homelessness. Our Client Assistance Fund serves as a safety net for those with extremely limited resources, particularly when other forms of financial aid have been exhausted or are not readily available. For many individuals, without this vital resource, housing may simply not be possible. 
Covered expenses include: 
•     Fees for ID cards and vital documents required for housing and public benefits eligibility (such as SSI/SSDI) 
•     Transportation assistance to travel to job interviews, medical appointments, legal meetings, job training, etc. 
•     Appropriate clothing and footwear for job interviews and specific working conditions  
•     Basic household items to establish a new home (linens, kitchen items, cleaning and hygiene products, etc.)  
•     Medication/Prescriptions not covered by insurance 
•     Move-in and rental assistance when eligible housing opportunities become available 
•     Emergency expenses that are time-sensitive and cannot be supported by other means
Rapid Re-Housing Program (RRH): 
RRH is an evidence-based intervention program designed to help individuals who do not require intensive care to quickly exit homelessness and achieve housing stability. The program features low barriers to entry, without prerequisites such as employment, income, a clean criminal record, or sobriety requirements. RRH identifies housing, provides rental/move-in assistance, and case management services to provide a quick and effective path to stable and permanent housing. Through participation in Accelerated Moving Events (AMEs), where all steps of the housing process are completed simultaneously, most participants in RRH successfully transition to permanent housing within 30 to 60 days.  
Shelter Placement and Resource Center (SPARC):
In partnership with the Department of Family and Support Services (DFSS) and the State of Illinois, Franciscan Outreach is leading the operational launch of the centralized One System initiative- Shelter Placement and Resource Center (SPARC), which began service on December 20, 2024. In collaboration with community partners, SPARC offers essential services to 200 adults, including shelter placement, diversion and outmigration assistance, and transportation, while also receiving interim support such as food, access to facilities, and overnight shelter. Franciscan Outreach provides full administrative oversight of the program and manages the overnight emergency shelter for individuals awaiting placement.
Day Program/Drop-In Center:  
Serving as Chicago's only access point for CES homeless services on the west side, we welcome walk-ins from all community members in need. The Day Program offers a safe space for rest, food, and clothing, as well as on-site case managers who provide comprehensive support, specialized referrals, shelter diversion, and more.  
Medical Respite Care: 
Launched in 2024, Medical Respite Care provides acute and post-acute support for unhoused individuals who are too ill to recover independently but no longer need hospital care. This program offers a safe and secure environment where unhoused individuals can recuperate, featuring 24-hour access to a bed, three daily meals, on-site medical attention, case management, and additional services.</t>
  </si>
  <si>
    <t>75,000</t>
  </si>
  <si>
    <t>Franciscan Outreach regularly measures and evaluates the effectiveness of our programs to ensure quality, compliance, continued improvements, and positive outcomes. All guests complete a detailed intake upon arrival at our shelters. We collect data including the number of guests served, demographics, frequency and type of services provided, and guest achievements. Utilizing our evaluation tools, we effectively monitor, track, and measure progress toward both individual and programmatic goals. We define success using metrics designed to measure progress in providing for basic, immediate needs and creating individualized roadmaps to success. 
Franciscan Outreach utilizes outcomes, impact, activity, and capacity measures to determine progress toward carrying out our mission and achieving performance, goals, and objectives across all programs. In analyzing various data points, success can be effectively measured by:  
# of guests who exit our programs to more stable housing (permanent supportive housing, transitional housing, reunification with family, etc. ) 
# of guests connected to housing options (through CES assessments, referrals to housing resources, etc.)  
# of guests obtaining and/or increasing income (employment, benefits, etc.)  
# of guests engaging in case management services (access to resources, referrals, etc.)  
# of guest referrals to specialized services
Measuring this type of progress empowers case managers, shelter staff, the leadership team, and community partners to directly address challenges in guests’ lives so they may gain stability, transition into permanent housing, and improve their overall health and wellness with long-term success.
We are pleased to share that in 2024 our programmatic outcomes and guest achievements included:
•	Agency-wide we supported 3,547 unduplicated guests (792 more than the year prior)
•	267,541 nutritious meals were served (4,448 more than the year prior)
•	1,853 guests received 108,246 nights of shelter at our 3 shelter sites (9,128 more nights than the year prior)
•	1,725 guests engaged in Case Management Services 
•	1,617 individuals were served at our Day Program
•	70 individuals engaged in Rapid Re-housing
•	853 guests received assistance becoming housing-ready (obtained ID, BC, SSC)
•	239 guests exited the program to more stable housing including permanent housing
•	216 guests received employment and job training services</t>
  </si>
  <si>
    <t>Led by a team of professionals with a wealth of experience in homeless services, Franciscan Outreach’s dedicated staff recognize that every guest who enters our facility has their own unique experiences, needs, and challenges. To promote best practices and create the most supportive environment possible, staff receive continuous training in a variety of evidence-based techniques, including Harm Reduction, Housing-First, Trauma-Informed Care, Narcan administration, CPR &amp; First Aid, Mental Health First Aid, Conflict Management, and De-escalation strategies. Furthermore, Case Managers receive specialized training to conduct housing assessments related to Gender-Based Violence and Human Trafficking. 
Our Leadership Team and Program Managers include:
FRANCISCAN OUTREACH LEADERSHIP TEAM:
ROBRET SIMPSON, MPA, SHRM-SCP 
EXECUTIVE DIRECTOR  
Robret joined Franciscan Outreach as the Deputy Director and was named Executive Director in November 2022. Robret brings 20+ years of experience in social services, working in administration, leadership, planning and expansion, and talent development. She believes in leading by example and strategic development. Robret has assisted in the growth of the organizations she has worked for by instituting strategic plans, developing processes and policies, and increasing capital. She graduated Summa Cum Laude from DeVry University in Chicago with a BA degree in Information Systems and has her MA degree in Non-Profit Management from Keller Graduate School of Management. 
SHARON NELSON
DIRECTOR OF FINANCE 
Sharon joined Franciscan Outreach in 2016, bringing 30+ years of progressive experience in finance and accounting roles. In her role, Sharon executes and oversees the management of all financial functions of the organization including financial reporting, business planning and budgeting, fiscal and financial audits, investment management, and tax filings. Prior to Franciscan Outreach, Sharon was the Director of Finance &amp; Administration at The North Shore Senior Center. Sharon holds a B.S. degree in Accounting from DePaul University and Non-Profit Management Certification from Northwestern University.  
LUWANA JOHNSON
DIRECTOR OF PROGRAMS AND OPERATIONS 
Luwana joined Franciscan Outreach in 2019 as Director of Shelter Operations and currently serves as Director of Programs and Operations overseeing all Shelter, Day Program, Rapid-Rehousing, and Case Management operations. Luwana brings 10+ years of experience managing homeless services programming. Prior to Franciscan Outreach, Luwana served as Director of Emergency Shelter at North Side Housing and Supportive Services, and Senior Case Manager at The Inner Voice, Inc. She sits as the chair of the Bring Chicago Home Campaign Steering Committee and the Interim Housing Constituency Group. She has expertise in Housing-First, Trauma-Informed, and Harm-Reduction principles. Luwana holds a B.A. in Applied Science and Behavioral Sciences from National Louis University .
GLADYS CARTER, MAOL, QMHP, ICDVP
ASSOCIATE DIRECTOR OF PROGRAMS 
Gladys joined Franciscan Outreach in November 2024 as Associate Director of Programs. Gladys oversees all aspects of case management services as well as Intake and Systems Administration. Prior to Franciscan Outreach, Gladys was Program Director at Catholic Charities RRH scattered site housing program for three and half years. Gladys spent three years as Program Director at Family Rescues Inc. leading a transitional housing program, children’s development daycare program and RRH program for homeless victims of domestic violence. Gladys also spent five years at Northside Housing and Supportive Services, where she led a team working with chronically homeless single adults living with mental health and substance use disorders. Gladys is a Certified Illinois Domestic Violence Professional and Qualified Mental Health Professional. She holds an M.A. in Organizational Leadership from Lewis University.
FRANK LOWE, MA, CADC
SITE ADMINISTRATOR
Joining Franciscan Outreach in December 2024 as Site Administrator for the new SPARC Center where he oversees administrative and programmatic operations of this city run program. Previously, Frank held positions as Director of Programming for LifeHouse Recovery, Director of MAT at PLCCA,  and Clinical Supervisor at the Gateway Foundation’s MISA, Co-occurring, Coed Residential Treatment Unit. Frank supervised clinical staff including a Program Manager, Counselor Supervisor, Counselors, and other support staff delivering substance use disorder treatment to clients. As Program Manager for Respond Now, Director of Housing and Supportive Services for Inspiration Corporation, and Career Services Coordinator for The Employment Project, Frank supervised and trained staff including LCSW Clinical Services Managers, Masters level Housing Services Manager, Master’s level Housing Retention Specialists, MSW Interns,  Supportive Services Case Managers and Career Specialists. Frank is a Certified Alcoholic Drug Counselor (CADC), Harm Reduction Facilitator, and is SOAR certified, with extensive experience and comprehensive knowledge of the Social Determinants of Health that affect vulnerable populations. Frank holds an M.A. in Community Counseling and a Graduate Certificate in Nonprofit Management from Roosevelt University. 
SALLY BIANCA BERKHIA, MBA
DIRECTOR OF DEVELOPMENT &amp; EXTERNAL AFFAIRS  
Sally came to Franciscan Outreach in September 2021, bringing 20+ years of expertise in Development to Franciscan Outreach. Sally has held key roles in resource development and institutional advancement at Heartland Alliance, Oprah’s Angel Network, The Rotary Foundation, and La Casa Norte. Sally holds an MBA from North Park University, a B.A. in Communications from Northeastern Illinois University, a Non-profit Financial Management Certification from North Park University, and Major Gifts Certification from Northwestern University’s Kellogg School of Management. 
ALIMA CASILLAS
ASSOCIATE DIRECTOR of HR &amp; ADMINISTRATION 
Alima joined Franciscan Outreach in 2024, bringing 17+ years of HR and Benefits experience with a focus on organization talent retention. Alima is a results-oriented professional focused on compliance and administration follow through, with dedicated experience in payroll administration and 401k support. She is focused on helping others to create a cohesive work environment and is a strong believer in open communication and collaboration to foster growth and success. Alima has a B.A. in Human Resources Development from Northeastern Illinois University, and Professional HR Certification from DePaul University.
FRANCISCAN OUTREACH PROGRAM MANAGERS:
Gerardo Rodriquez, Program Manager
Gerardo joined Franciscan Outreach in February 2024, bringing extensive experience working with adults and adolescents living with mental illness and homelessness. Previously, Gerardo worked as a Program Supervisor at Streamwood Behavioral Health Hospital, where he built and led a confident and skilled team across the hospital units and therapeutic day school. As part of the management team, he led training programs focused on verbal de-escalation strategies and onboarding new staff.  Currently pursuing a Master’s degree in Divinity and an LCPC with a concentration in counseling and chaplaincy, Gerardo is committed to integrating his expertise in mental health and leadership to serve vulnerable populations effectively.
Eneida Mejias, Program Manager
Eneida came to Franciscan Outreach a Program Manager in November 2024. She brings with her over 12 years of experience working with individuals confronting homelessness, serious mental illness and substance use disorders, and has a strong background in harm reduction models, substance use disorder treatment and permanent supportive housing. In her prior role as Flexible Housing Pool Team Lead at Renaissance Social Services, Eneida led a team of 5. She provided direct support, administrative documentation and troubleshooting, hands on training and onboarding while maintaining a caseload of her own. Prior to that she also worked with homeless youth populations at La Casa Norte. Currently working toward her master’s degree in social work with an LCSW, Enida has a B.A. in psychology from Northeastern Illinois University.  Eneida has a expertise in workflow management and streamlining processes and is dedicated to applying her depth of knowledge to her current role. 
Rebecca Simmons, Program Manager
Rebecca joined Franciscan Outreach in September 2024, bringing a wealth of experience in supporting unsheltered populations living with substance use and mental health disorders. In her prior role, Rebecca worked as a Street Outreach Program Manager at Lincoln Park Community Services. There she assembled and led a specialized street medicine and street outreach team and created and managed initiatives for individuals living in encampments. With expertise in harm reduction and trauma informed care, Rebecca collaborates closely with community partners to guarantee a caring and resourceful response to individual emergencies. Rebecca is passionate about systemic change and establishing safe spaces for vulnerable groups. She holds a bachelor’s in psychology with Community concentration and is seeking a master’s in clinical psychology to better advocate for clients managing their mental illness while being unhoused.</t>
  </si>
  <si>
    <t>To provide culturally competent and relevant care, we actively involve our guests, staff, volunteers, and community members in our work. We maintain an open-door policy, offering ample opportunities for feedback. We value our guests' voices and consciously incorporate them into our decision-making process by hosting monthly guest committee meetings. We appreciate and value guest feedback, which helps us better understand their unique needs. We use this information to shape programs, policies, and procedures that benefit those we serve. Members of the Franciscan Outreach staff have actively participated in various advocacy efforts, serving as either chair or co-chair of the Bring Chicago Home campaign. Additionally, we engage in actions at city hall, town hall meetings, planning and advocacy meetings, and more. Guests of Franciscan Outreach have also participated and engaged in these efforts.</t>
  </si>
  <si>
    <t>our guests through our extensive network of community partners. To promote health equity and address various health concerns identified during the intake process and throughout guests’ stays, we collaborate with partner organizations that offer medical and mental health services directly on-site at our shelters. Additionally, our coordinated care model allows us to connect our guests with a range of services, including medical and mental healthcare, employment and job training support, legal aid, and more, through our community partners. Guests can access these essential services during their time at Franciscan Outreach and beyond, enabling them to remain engaged and connected to vital resources that foster stability and independence after transitioning out of homelessness. Our community partners assist both on-site at our locations and through off-site referrals via the following partnerships:
•	Medical Healthcare: Lawndale Christian Health Center, The Night Ministry, and RUSH
•	Mental Health Services: Renaissance Social Services, Lawndale Christian Health Center and Bobby E. Wright Behavioral Health, Glasses for the Homeless
•	Substance Use Disorder Counseling and Treatment: Family Guidance and Haymarket 
•	Job Training/Employment Services: The Journey Forward, Safer Foundation, and Inspiration Corporation 
•	Legal Assistance and Social Security Disability Benefits Advocacy: The Legal Counsel for Health Justice  
•	HIV/STD Testing: Cook County Health 
Furthermore, we collaborate with Chicago’s Continuum of Care, the Ignatian Spirituality Project, the Veterans Association (VA), and other providers. Franciscan Outreach actively partners with the State of Illinois Department of Public Health, the Corporation for Supportive Housing, the Emergency Food and Shelter Program, and All Chicago Making Homelessness History. We are active members of the City of Chicago Continuum of Care Homeless Assistance Program. We have collaborative working relationships with local alderpersons, associated agencies, libraries, police departments, and hospitals. In addition, we work with local organizations to provide our staff with diverse training opportunities, including Narcan/Naloxone administration, CPR/First Aid, Mental Health First Aid, Trauma-Informed Care, Harm Reduction, Conflict Management/De-escalation, as well as employee wellness resources.</t>
  </si>
  <si>
    <t>Franciscan Outreach strives to build a culture where everyone is accommodated, respected, and heard by applying Inclusion, Diversity, Equity &amp; Access (IDEA) practices. This approach fosters an inclusive workplace, attracts a strong, diverse workforce, maximizes outreach, and advances our mission. We invest resources and hold ourselves accountable; hire and promote people of color; value diverse perspectives; foster a culture of inclusion and transparency; and offer trainings on issues related to race, equity, and bias. Our Leadership Team, led by an African American woman, is composed of 85% BIPOC, 85% women, and 84% of our staff are BIPOC. Furthermore, our team includes peers with lived experience in homelessness, providing uniquely personal understanding and a compassionate perspective for our guests.</t>
  </si>
  <si>
    <t>Homelessness is a complex issue filled with systemic barriers and social determinants of health that disproportionately affect Black and Brown communities at a devastating rate. With a focus on equity and access, Franciscan Outreach is committed to providing sustainable, innovative solutions designed to support those with the greatest needs. We offer the lowest-barrier access to essential services for well-being. Recognizing that each guest brings their own experiences, needs, and timeline, we do not impose limits on the length of stay in our programs. Our service sites are strategically located on the West and Near South Sides of the city, where the largest concentration of unhoused individuals resides. With over 60 years in the community, our well-established presence and extensive experience enable us to build trusting relationships with even the most hard-to-reach and difficult-to-engage individuals, making us unique innovators in addressing homelessness for Chicago’s most vulnerable and marginalized populations. 
Advocating for equity and social justice, Franciscan Outreach has a history of proactively working toward systemic change since our founding. We have steadily grown to meet the evolving needs of those we serve and have established a successful track record of supporting Chicago’s most marginalized and vulnerable populations. Most recently, over the last decade, we have engaged in numerous efforts and initiatives to advance our work:  
•	In 2018, after 30 years of operations at the Marquard Center, Franciscan Outreach decided to sell the building and move all programming to our other agency locations. This strategic reinvestment decision was made to serve the evolving needs of the community and provide more equitable access to services where the needs are greatest. This same year, Case management programming was enhanced and expanded to include more intensive services to further address the complex needs of our guests.   
•	In 2019, we opened our third shelter, the Pilsen Navigation Center. This low-barrier, 40-bed facility offers 24-hour access, three meals a day, and on-site case management, providing an innovative approach to homeless services designed specifically tailored to meet the unique needs and challenges faced by individuals who previously lived in tent encampments. Unique to this model, we provide ample storage for personal belongings, the option to stay as a couple, and space for personal pets. With these features rarely offered at other shelters, we offer an innovative solution that honors the needs and personal dignity of our guests.  
•	In 2020, just two days after COVID-19 was declared a global pandemic, homeless services and healthcare providers, including Franciscan Outreach, convened to address the impacts of COVID-19 on people experiencing homelessness in Chicago. Over 100 healthcare, service, and government agencies across Chicago united to support vulnerable unhoused populations. The collaborative, initially known as the West Side Homeless COVID-19 Response Group, was later renamed the Chicago Homelessness and Health Response Group for Equity (CHHRGE).  
As a founding member of CHHRGE, Franciscan Outreach was one of the first to implement CDC COVID-19 health and safety protocols to protect guests and staff. Recognizing the devastating impact of COVID-19 on our vulnerable population, staff identified and assisted in relocating our highest-risk guests to non-congregate spaces. Operating during this unprecedented time, staff consistently went above and beyond to provide uninterrupted services, ensure safety, and help guests navigate through the pandemic. That same year, Franciscan Outreach enhanced our Inclusion, Diversity, Equity, and Access (IDEA) practices. All frontline essential staff received COVID incentive pay and became full-time employees, making all staff eligible for health insurance and paid sick leave, which was crucial during the pandemic.
•	As we make progressive strides to meet Chicago’s increasing demand for services and enhance our delivery, Franciscan Outreach began two transformative projects in 2024. These projects aim to improve our shelters so they better reflect our mission, offering a supportive environment that facilitates healing and avoids re-traumatization. We’re thrilled to announce the comprehensive renovation of our Harrison Street Shelter, aimed at upgrading the facilities for our guests. Additionally, we are relocating our Annex Shelter to a new, full-service location that operates 24/7, replicating the successful service model of our Harrison St. Shelter. With both projects targeted for completion in 2026, we’re excited to report that we are making significant progress toward these initiatives becoming a reality.
•	Our Executive Director served on the steering committee for Chicago’s One System initiative, aimed at developing a centralized system for homeless services, which went on to launch the new Shelter Placement and Resource Center (SPARC) in December 2024. Consequently, based on our extensive experience, proven track record, and deep understanding of the community’s needs, Franciscan Outreach was honored to accept the role of interim agency to oversee the launch of operations and carry out full administrative oversight and overnight management of the newly established program.</t>
  </si>
  <si>
    <t>Franciscan Outreach is a well-established, fiscally sound, and growing organization. With strong roots in the communities we serve, we are well-positioned to continue assisting Chicago’s most under-resourced residents. Seventy-four percent of our funding comes from government sources, providing overall stability to the agency. However, we do not solely depend on this support to fund our programs. To ensure sustainability and flexibility, we maintain a diverse portfolio of private funders, including foundations, corporations, congregations, civic organizations, and individual donors committed to supporting our vital work. This allows us to remain agile in covering increasing expenses, such as the rising cost of rent, flexible financial assistance for guests, competitive salaries, staff benefits and training, facility improvements, and a healthy reserve for unforeseen expenses. As part of our fundraising strategy, we host several successful annual events , including a successful gala that generates approximately $250,000. Additionally, we benefit significantly from our generous and consistent in-kind support, valued at over $500,000 annually in food donations and other essential items. We are fully committed to the longevity of our mission and dedicated to building and cultivating meaningful partnerships with a growing array of funders and supporters, ensuring the agency's sustainability for years to come.
Franciscan Outreach practices sound fiscal management and internal controls.
Our fiscal policies and financial reporting oversight are governed by the Finance and Audit Committee of the Board of Directors. The Executive Director of Franciscan Outreach oversees all internal operations, including accounting and financial reporting, which are managed by the Director of Finance and Information. The Finance Department utilizes the QuickBooks accounting system, handling all aspects of accounts payable, accounts receivable, general ledger transactions, and financial reporting. Payroll is processed through PayChex Flex, and Donor Perfect serves as the CRM donor database for managing donor data and contributions reporting. Activities from both systems are integrated into the QuickBooks general ledger.
Accounting practices, policies, and procedures are documented and serve as a reference source. All vendor payments are well-supported with proper documentation (e.g., invoices, signed contracts, receipts) before payment is processed. All records and files are organized, and documents are stored securely. Petty cash and all other organizational assets are properly safeguarded. Our books are audited annually, and we fulfill our compliance obligations. The strength of our fiscal management is evident in our Audited Financial Statement report from Cherry Bekaert, LLP, which consistently demonstrates our continued financial improvement and the absence of audit findings, representing the strongest possible outcome. Internal controls are strong and best business practices are exercised. If improvements are necessary, we take appropriate action to implement them.</t>
  </si>
  <si>
    <t>Chicago Department of Family and Support Service ($3,517,152.83)
Illinois Department of Human Services ($432,593.00)
All Chicago Making Homeless History ($410,802.97)</t>
  </si>
  <si>
    <t>Chicago Department of Family and Support Service ($3,981,300)
Illinois Department of Human Services ($416,340)
All Chicago Making Homeless History ($481,973)</t>
  </si>
  <si>
    <t>Adults ages 18+</t>
  </si>
  <si>
    <t>99% of our guests are low-income</t>
  </si>
  <si>
    <t>https://www.jotform.com/uploads/Sol_Flores_sflores/242752736237461/6151869758117911640/FO%20Key%20Staff%20Bios.pdf
https://www.jotform.com/uploads/Sol_Flores_sflores/242752736237461/6151869758117911640/FO%20Latest%20AFS%20and%20990.pdf
https://www.jotform.com/uploads/Sol_Flores_sflores/242752736237461/6151869758117911640/FO%20Board%20of%20Directors%20list%202025.pdf
https://www.jotform.com/uploads/Sol_Flores_sflores/242752736237461/6151869758117911640/FO%20IRS%20Determination%20Letter%20501c3.pdf
https://www.jotform.com/uploads/Sol_Flores_sflores/242752736237461/6151869758117911640/FO%20Organizational%20Budget%202025.pdf</t>
  </si>
  <si>
    <t>https://www.jotform.com/uploads/Sol_Flores_sflores/242752736237461/6151869758117911640/FO%20Guest%20Stories.pdf
https://www.jotform.com/uploads/Sol_Flores_sflores/242752736237461/6151869758117911640/FO%20History-%2060%20years%20of%20service.pdf
https://www.jotform.com/uploads/Sol_Flores_sflores/242752736237461/6151869758117911640/FO%202025%20At%20a%20Glance.pdf</t>
  </si>
  <si>
    <t>Feb 11, 2025</t>
  </si>
  <si>
    <t>lpavlik@covenanthouse.org</t>
  </si>
  <si>
    <t>Covenant House Illinois</t>
  </si>
  <si>
    <t>81-2061485</t>
  </si>
  <si>
    <t>2934</t>
  </si>
  <si>
    <t>W. Lake St</t>
  </si>
  <si>
    <t>60612</t>
  </si>
  <si>
    <t>https://www.covenanthouseil.org/</t>
  </si>
  <si>
    <t>Louisa</t>
  </si>
  <si>
    <t>Pavlik</t>
  </si>
  <si>
    <t>Private Grants Manager</t>
  </si>
  <si>
    <t>3127597879</t>
  </si>
  <si>
    <t>Johnpaul</t>
  </si>
  <si>
    <t>Higgins</t>
  </si>
  <si>
    <t>Jhiggins@covenanthouse.org</t>
  </si>
  <si>
    <t>3127597881</t>
  </si>
  <si>
    <t>55</t>
  </si>
  <si>
    <t>Board recruitment is a top priority for Covenant House Illinois. While we continue striving to enhance representation, our current Board of 13 members reflects progress, with 23 percent identifying as Black or African American, eight percent as South Asian, and 23 percent as women. One of our Board members has personally experienced homelessness. We are committed to building a Board that fully reflects the diversity of the youth we serve, ensuring their needs and perspectives are always at the forefront.    
Staff demographics are as follows: 65 percent Black/African America; 15 percent Hispanic/Latino, two percent Two or more races, and 17 percent White. Seventy percent of employees identify as female, and 30 percent identify as male. Staff race and ethnicity demographics largely align with the youth’s demographic makeup from year to year— youth intake data from recent years indicates that about 70 percent identify as Black/African American, 10-20 percent identify as Hispanic or Latino, 10 percent identify as multi-racial, and around 10 percent identify as White/Caucasian annually. Several staff members have personal experience of homelessness. 
As part of our FY24-26 strategic plan, we are creating pathways for program alumni to join staff and board positions, embedding lived experience into leadership and program development. More details on our CHIL Youth Advisory Board are included in our answer to #7. Combined with our staff's strong representation of the communities we serve, these efforts demonstrate our dedication to fostering inclusive leadership and amplifying the voices of those at the heart of our mission.</t>
  </si>
  <si>
    <t>The mission of Covenant House Illinois (CHIL) is to offer young people (ages 18-24) experiencing homelessness an affirming community, absolute respect, and a path to lasting independence.</t>
  </si>
  <si>
    <t>Supporting Youth</t>
  </si>
  <si>
    <t>Primary Focus  
The guiding focus of our work is to offer young people experiencing homelessness (ages 18-24) a sustainable path to safe and stable housing, and lasting independence. CHIL’s programs are designed to meet the complex needs of youth experiencing homelessness by offering a continuum of care that is trauma-informed, culturally appropriate, and grounded in harm reduction principles. We provide low-barrier entry to services, ensuring youth can engage at their own pace. Last fiscal year, we served 439 youth, providing them with shelter, healthcare access, education and employment support, clinical case management, and life skills training. This year, we anticipate reaching 500 young people, reflecting both increased community needs and the growing demand for our comprehensive services. 
Target Population  
Chicago is facing a youth homelessness crisis, with an estimated 9,567 young people (ages 18-24) unhoused on any given night, accounting for over 13 percent of the city’s total unhoused population. This crisis is compounded by Chicago having the highest youth unemployment and school disengagement rates in the country—particularly in neighborhoods like East Garfield Park, where 54.5 percent of 20–24-year-olds are unemployed, and 48.3 percent are neither employed nor in school. Homelessness and unemployment data were gathered from reports published by the University of Illinois - Chicago’s Great Cities Institute and the Chicago Coalition to End Homelessness, respectively. CHIL’s target population is also overrepresented in Chicago firearm violence and homicide statistics. A report from Northwestern’s Institute for Policy Research revealed that while homicides of children under 18 have declined, young adults aged 18-24 are the most at risk of becoming homicide victims. Additionally, Black Chicagoans face the highest homicide victimization rates, with 18-19-year-olds being at the greatest risk, experiencing a homicide rate nearly 10 times higher than the city average. 
In addition to violence and poverty, our youth face compounding risk factors which complicate their path to stability. In a report from Chapin Hall and the Williams Institute at UCLA, researchers found that 29 percent of youth experiencing homelessness report substance use problems, 69 percent struggle with mental health issues, 33 percent have been involved in the foster care system, 50 percent have been incarcerated, and 40 percent identify as LGBTQ. The racial demographics of youth homelessness add another layer of complexity. According to the Bassuk Center on Homeless and Vulnerable Children, young people of color are particularly vulnerable, with Black youth making up 78 percent of all young people experiencing homelessness in the United States. Common barriers faced by all young people, like a lack of rental history, little work experience, and prohibitive rent cost, only exacerbate the steep housing barriers faced by a predominantly BIPOC and LGBTQ unhoused youth population.  CHIL’s Homeless Management Information System youth intake data from 2024 demonstrates the alignment between research on unhoused youth and the individuals we serve: 30 percent of youth have experienced domestic violence; 20 percent report a mental health disorder; 80 percent lack health insurance; 33 percent have been in foster care; 32 percent have prior involvement with the criminal justice system; 15 percent report substance use issues.  CHIL’s programs respond directly to the profound need for low-barrier, culturally competent, developmentally appropriate, and trauma-informed housing services.  
Key Activities  
CHIL’s evidence-based program model is strengths-based, trauma-informed, and prioritizes youth choice and voice. It is unique in its ability to provide engagement-based services that are informed by youth, directed by staff, and supported by research. CHIL’s practices are rooted in two reports: the U.S. Interagency Council on Homelessness (USICH) Framework to End Youth Homelessness and the 2019 Chapin Hall Report, “Measuring Up: Youth-level Outcomes and Measures for System Responses to Youth Homelessness.” In accordance with best practices and research findings from this group of experts, our program model measures success according to these core five outcomes: stable housing, employment, education, social and emotional well-being, and social and permanent connections. To promote resilience and maximize a young person’s ability to reach lasting independence, CHIL practices relentless youth engagement, compassion, flexibility, and data-driven decision-making.  Each of the core programs detailed below is implemented with these principles.  
Youth Development Center (Drop-In, YDC): The YDC, open six days per week, is our “front door” where youth arrive to receive a hot meal, shower, and other necessities. Here, youth have the option to be put on a waitlist for our housing programs and enroll in case management. All youth may access three daily hot meals, laundry machines, low-barrier programming like peer support groups, recreational outings, and referrals to on-site mental health care and medical care. We also have a robust network of community partners to which we can refer youth for services not available on-site. We recognize that success is not linear, and youth engagement is not always consistent. However, our strength-based approach ensures that trusted staff accompany youth on their journey to remind them of the progress they have made and encourage them to persevere.  
Interim Housing Program (short-term shelter - approximately 120 days): Our 37-bed interim housing program is open 24/7 and provides a safe and affirming living environment where youth can stabilize while working toward next steps. Youth partner with our Clinical Case Managers to complete a comprehensive intake assessment and build an individualized success plan to guide their time with us.  
Rites of Passage (ROP), Transitional Housing: ROP is a semi-independent 19-bed transitional housing program with each participant staying in the program for up to 24 months. ROP mirrors the obligations of a traditional household, encouraging youth to develop important life skills while working toward long-term housing and vocational goals. Transitional housing offers young people a stable place to live for a significant duration and provides case management and other supportive services. For youth, this can be an effective approach that serves as a bridge from homelessness to lifelong stability. According to a study by the National Network for Youth, SchoolHouse Connection, and Covenant House International, youth who access transitional housing, particularly for longer periods, experience positive outcomes related to housing, employment, education, and access to services. 
Employment and Education Program (EEP): Through workshops, career panels, job fairs, and individual casework, EEP helps youth gain the skills necessary to reach financial independence. EEP supports youth in sustaining a career-based job through providing on-site assistance with job applications, college applications, mock interviews, industry-specific training certificates, technology skills, financial literacy, and much more. Youth working toward or interested in obtaining a high school diploma, GED, higher education, or trade apprenticeship can access support through EEP as well. Our staff maintain relationships with numerous local employers, Chicago City Colleges, Chicago Public Schools (including their Students in Temporary Living Situations –STLS Liaisons), and numerous job training programs city-wide.  
Street Outreach &amp; Aftercare Program: CHIL works with community partners to conduct outreach to youth experiencing homelessness who are not currently engaged with CHIL for the express purpose of bringing them into coordinated services. Additionally, our Aftercare Case Manager follows up with youth who have exited our programs for up to six months to ensure youth receive the services and support necessary to remain in stable housing.</t>
  </si>
  <si>
    <t>To measure the success of our programs, we utilize a blend of both qualitative and quantitative metrics to ensure we are not only tracking tangible outcomes but also capturing the less measurable, yet equally vital, aspects of our work. Our Quality Improvement team conducts regular Youth Feedback Surveys, allowing young people to provide anonymous input on program services.  In the Youth Feedback Survey conducted at CHIL in May 2024, 85 percent of youth indicated that they feel safe when coming to CHIL, and 50 percent of youth mentioned “Staff” as a part of their answer to what makes CHIL feel like a safe place. Twenty-eight percent of respondents said “yes” when asked if they were part of the LGBTQIA+ community. Of these youth, 91 percent said that they felt as though CHIL is a safe and affirming place for LGBTQIA+ identifying people. Notable quotes from the Youth Feedback survey include “Certain staff members are more like family than my own family,” and “I like how I can talk to the staff about my problems and not feel judged.” CHIL’s programs are designed to meet the complex needs of youth experiencing homelessness by offering a continuum of care that is trauma-informed, culturally responsive, and grounded in harm reduction principles. Our approach ensures that even those who might be excluded from traditional housing services due to barriers like substance use, lack of ID, or inconsistent engagement in services, can access support. We provide low-barrier entry to services, ensuring youth can engage at their own pace. 
Covenant House Illinois utilizes the following tools to ensure high-quality evaluation of programs and youth outcomes: Efforts to Outcomes (ETO), Homeless Management Information System (HMIS), and Enterprise Content Management (ECM). ETO is a case management and data storage software utilized by all Covenant House sites. All young people are entered into ETO. If a young person would like to enter CHIL’s residential programs or be considered for other housing programs within Chicago, our case managers will enter youth into HMIS, a system utilized citywide by all housing service providers. If a young person has an Illinois ID and seeks help from our Employment and Education Program, our EEP staff will enter that young person into ECM, another case management software provided by DFSS to track employment and income levels, as well as job retention and educational achievement.  
Case Managers work directly with young people to track progress and provide support. Youth work one-on-one with case managers to develop a Personalized Success Plan that addresses their housing, employment, education, health, and other wellbeing-related goals. This collaborative process helps youth feel heard, valued, and empowered with check-ins occurring at least monthly or more as requested by youth. 
Key Metrics  
500 young people organization-wide  
350 young people through the Youth Development Center  
100 young people through Employment and Education Program  
30 percent of youth to retain their jobs for 30+ days 
30 percent of youth to increase their savings 
54 youth attain employment 
15 youth enrolled in school 
45 young people through mental health services  
19 young people through Rights of Passage  
Measured quarterly, 67 percent of young people in the program maintain or increase their wellness score 
Measured at exit, 75 percent of young people gain income or maintain their income 
Measured at exit, 94 percent of young people will move to safe and stable housing  
Measured at exit, 75 percent of young people will move to permanent housing. 
60 youth served by Street Outreach and Aftercare Program  
Measured at exit, 15 percent of youth will exit to more stable housing.   
Measured at exit, 10 percent of youth will exit to permanent housing.   
Measured quarterly, 50 percent of youth exiting Interim and ROP will engage in Aftercare case management. 
To track progress toward the above goals and monitor the quality of services, our direct service staff work closely with our Quality Improvement and Assurance team. Weekly, monthly, and quarterly, reports are pulled from our case management software and shared among program and QI staff. With routine check-ins on program reports, staff can “course correct” as necessary and maintain clear understandings of program goals regarding quality of service (income changes, housing destinations, etc.) and the number of young people accessing programs.  
To demonstrate how youth engage with multiple programs offered at CHIL, we included a brief profile of a young person, Justus, who is currently residing in our Rights of Passage – transitional housing program. It is uploaded in the Attachments section.</t>
  </si>
  <si>
    <t>Chief Executive Officer - Susan Reyna Guerrero, LCSW 
Susan is responsible for the strategic vision and oversight of Covenant House Illinois. She is a seasoned administrator and leader with more than 30 years of social service experience, all of which have been spent in the Chicago community. Prior to joining Covenant House Illinois, Susan worked as Chief Programs Officer at Children’s Place Association where she was responsible for the operations of the organization’s domestic programs, including the Early Learning Center, Family &amp; Community Services, Foster &amp; Adoptive Care and the Residential Center. She spent 17 years of her time at Beacon Therapeutic Diagnostic and Treatment Center as Chief Executive Officer and then President and Chief Executive Officer. She has been an independent practitioner providing clinical consultations, training, and individual psychotherapy since 2017. Susan has dedicated her career to focusing on helping to systematically advance the issues surrounding homelessness, and its resulting impact on children’s mental health, physical health, and overall well-being. She is a graduate of Loyola University (MSW) and is a Licensed Clinical Social Worker. In February 2022, she was appointed by J.B. Pritzker, Governor of Illinois, to the Community Advisory Council on Homelessness where she represents the youth provider sector.   
Chief Program Officer - Betsy Carlson, MSW 
The Chief Program Officer (CPO) supports the Chief Executive Officer (CEO) and provides leadership, management, and vision necessary to ensure that CHIL has the most qualified personnel and the best systems in place to effectively sustain and grow the organization, ensuring programmatic oversight, financial strength, and operating efficiency. Betsy accomplishes this through a respectful, constructive and energetic style, guided by CHIL’s mission, vision and values. The Chief Program Officer is a member of the senior executive team influencing and guiding the overall goals, strategy, and decision making of the organization. The position also functions as the Child Protection Officer, responsible for Praesidium Compliance. Betsy Carlson joined the Covenant House Illinois team in January 2024. Prior to joining CHIL, Betsy was the Director of Youth Programs at The Night Ministry, another youth homeless service provider in Chicago. In this role, Betsy was responsible for operation of the Youth Programs Department, including a youth outreach team, emergency shelter, interim housing program, transitional housing programs for individual youth and for pregnant and parenting youth, and the agency’s partnership with the Flexible Housing Pool for youth. She also spent ten years working at the Lincoln Park Community Shelter, an agency serving unhoused single adults through a continuum of programs.    
Chief Operating Officer – Jennifer Nelson Seals, MSHRM 
Jennifer Nelson Seals comes to Covenant House with over 27 years of not-for-profit management and executive leadership experience. She has been nationally recognized by the National Health Care for the Homeless for her strong leadership and ability to manage high risk populations, forging strong relationships with hospitals, Managed Care Organizations, and community partners. Prior to joining Covenant House, she helped establish The Boulevard of Chicago, a medical respite center for homeless individuals. There, she served as CEO for 17 years, helping to meet the needs of vulnerable homeless populations, advocating for services, and bringing awareness about homelessness as a national issue. Jennifer has served on various boards, committees and taskforces, including All Chicago, National Health care for the Homeless, National Coalition for the Homeless, Service Provider Commission, Center for Health and House and more. Mrs. Nelson Seals has a certificate in Executive Management in Nonprofits, holds a Master of Science in Human Resources Management from Roosevelt University and a Bachelor of Business Administration from Robert Morris College. 
Chief Development Officer - Johnpaul Higgins 
Johnpaul oversees our grants, major gifts, annual events, and capital campaign, and is responsible for the strategic vision for all of our fundraising efforts. He is an accomplished non-profit professional with nearly two decades of development experience under his belt. With a background in literary arts, community outreach, and advocacy, his career has exposed him to a wide range of people and organizations. He joins the CHIL leadership team after spending two years in the development department working on CHIL’s capital campaign. Intimately familiar with the organization and mission, and with a strong background in securing resources for some of Chicago’s most vulnerable populations, Johnpaul is excited to bring his experience and passion to providing essential services to our region’s young people struggling with homelessness. 
Director of Clinical &amp; Supportive Services – Kenneth Leggin 
Kenneth Leggin joined the Covenant House Illinois Team in January 2025. Prior to joining the CHIL team, Kenneth served as the Cook North Child Protection Regional Administrator with the Illinois Department of Children and Family Services. As a Licensed Clinical Social Worker (LCSW), Kenneth’s social work career, which also includes serving youth and families in mental health settings, has spanned over 35 years. Kenneth received his bachelor- degree in Sociology from Northern Illinois University and Masters in Social Work ( MSW) from the University of Illinois at Chicago. Kenneth’s combination of clinical and leadership skills is geared toward serving as an "instrument of change" - enhancing the quality of life for youth and families. 
Director of Residential Programs – Gwen Williams Pettis 
Gwen is responsible for the daily operations of Residential programs (Interim and ROP) which include ensuring a high quality of service through direct supervision, management, and program development. Gwen has been at Covenant House Illinois for nearly four years and has over two decades of experience working with youth and survivors of interpersonal violence. In coordination with the Director of Clinical and Supportive Services, the Director of Residential Programs will work with program coordinators, Youth Advisors and community partners to provide comprehensive services to youth while ensuring implementation of agency philosophy, policy, and procedures.  
Director of Finance – Chris Murphy  
Chris has worked in the field of Finance for over 20 years and brings a great set of skills and experiences to Covenant House. His work stints include time in Banking, Financial Planning and Analysis, and Controllership roles. His most recent experience was at a non-profit, where he provided financial leadership to turn around the organization and put it in a sound financial position. Throughout his career, Chris has been known as a solid leader of financial processes, budgeting, and financial stewardship that helped organizations reach their goals. He looks forward to helping Covenant House Illinois as they move into their exciting growth phase to help more youth in the Chicago area!</t>
  </si>
  <si>
    <t>At Covenant House Illinois, we prioritize youth voice and choice in every aspect of our work including day-to-day services and strategic planning. Our case management approach empowers young people to lead their own success plans, while youth feedback surveys and in-depth interviews shaped the goals outlined in our FY24-26 Strategic Plan.  We also actively support CHIL youth participation in Chicago’s Continuum of Care’s Youth Advisory Board, amplifying their voices in critical decision-making. Additionally, CHIL's Chief Executive Officer, Susan Reyna-Guerrero, LCSW helped lead the effort for Chicago’s successful application for federal Youth Homelessness Demonstration Project funds, a process grounded in youth engagement and coordination with fellow youth-serving CoC providers. Youth feedback guided the renovations to our second floor Right of Passage space which now includes a hair-dye sink, fitness room, bathtub, and lock-able personal storage units.  
CHIL’s Youth Advisory Board, separate from the CoC YAB, will be built upon the foundations of current youth feedback opportunities supported by staff including:  
1. Recruits young people to participate in job interviews for staff candidates 
2. Conducts regular community meetings (weekly or biweekly) to hear reminders about program guidelines as well as to troubleshoot issues that are arising within the space 
3. Participates in biannual surveys of youth in CHIL programs 
4. Manages a suggestion box in the program spaces to provide anonymous feedback to CHIL 
5. Conducts focus groups on program design, including physical items in the transitional housing space and ideas for the relocation of the YDC and affordable housing in the community 
6. May utilize a grievance procedure in which youth may let management know about staff who are not fulfilling program expectations 
By uplifting the voices of those we serve, we ensure our work reflects their lived experiences, aspirations, and invaluable perspectives. Finalizing an official CHIL Youth Advisory Board is high priority for CHIL, with CHIL YAB activities to include:  
7. Review the youth surveys to be able to offer insights about the results. 
8. Plan events to engage youth who are enrolled in Aftercare, some onsite programs. 
9. Receive training/ coaching on public speaking, to have a ready pool of candidates to talk with reporters, at other events connected to youth homelessness. 
10. Provide a tour of the CHIL facility for funders, politicians and others visiting the building. 
11. Provide youth voice in staff trainings to demonstrate youth thoughts and opinions about program expectations, following the program model, and policies. 
12. Create internship opportunities for youth within CHIL to both better serve youth in the facility and provide skills for youth in our care.</t>
  </si>
  <si>
    <t>At CHIL, we prioritize partnerships to ensure comprehensive, high-quality services are accessible to address the diverse needs of the young people we support. These collaborations enable us to provide specialized care and opportunities that promote healing, independence, and empowerment.   
CHIL is part of a coalition of violence prevention providers on the West Side of Chicago including BUILD, Blocks Together, MAAFA Redemption Project, and United for Better Living. Collaborating closely with other members of this coalition, CHIL has developed hyper-local trust and access to informal networks to provide credibility within the community and best respond to the evolving needs of youth. Our violence prevention activities are low-barrier and trauma-sensitive, including life-skills counseling, mental and physical health screenings, peace circles, restorative justice practices, as well as the provision of necessities like food, shelter, clothing, and access to government identification. 
Heartland Alliance Health provide on-site trauma-informed medical care and referrals to our youth. As of February 2025, Heartland will no longer be in operation, and CHIL is working diligently to connect youth with alternative places of care. Care2Prevent at University of Chicago complements primary care by providing sexual and reproductive health needs, including STI testing and HIV/AIDS prevention and clinical care.  
Behavioral health is a cornerstone of our approach. Through partnerships with Mount Sinai Hospital and Bright Star Community Outreach, we provide youth with access to expert mental health care, offering tools and support to build resilience and thrive. We also collaborate with Chicago Adventure Therapy, where young people engage in outdoor experiential learning and team-building activities that foster self-confidence, leadership skills, and a sense of connection. Between Friends, a nonprofit dedicated to breaking the cycle of violence, runs a biweekly group for male-identifying youth which focuses on cultivating emotional awareness, healthy coping mechanisms, and healthy relationships. This program empowers participants to navigate relationships and challenges with greater understanding and resilience.   
For youth facing legal concerns, Cabrini Green Legal Aid and The Law Project at the Chicago Coalition to End Homelessness offer vital legal advocacy, helping young people navigate complex systems and know their rights.   
By working closely with these trusted organizations – and many more who refer young people to our services and vice versa—CHIL ensures youth have access to a holistic, wraparound network of services that address physical, emotional, and social needs. This integrated approach empowers young people to overcome barriers and build brighter, more stable futures.</t>
  </si>
  <si>
    <t>Our leadership team and Board of Directors are composed of individuals from diverse backgrounds, many of whom have lived experiences that resonate with the youth we serve. This diversity of identity and experience informs our decision-making processes and ensures that policies and programs are culturally responsive and inclusive. 
Operationally, CHIL prioritizes equitable hiring practices, fostering a workplace that reflects the communities we serve with the majority of our staff identifying as BIPOC. We invest in ongoing staff training focused on trauma-informed care, cultural competency, LGBTQ+ sensitivity, and mental health to maintain an inclusive and affirming environment for both staff and youth. 
Programmatically, we engage youth in shaping the services they receive through their inclusion in the hiring of direct service positions and opportunities to provide anonymous feedback. These practices ensure their voices are central to program development. Our services are tailored to meet the unique needs of all young people, including those from marginalized communities such as LGBTQ+ youth, youth of color, and those with disabilities. By embedding these principles into every aspect of our work, CHIL creates an affirming and equitable environment that empowers young people to thrive.</t>
  </si>
  <si>
    <t>Youth homelessness is a critical issue, and research shows that young people who experience homelessness often face compounded barriers, including mental and physical health challenges, lack of education, limited employment opportunities, and social isolation. These factors contribute to the intergenerational cycle of poverty and inequities that disproportionately affect Black youth, a demographic shared by 70-80 percent of our clients each year. For marginalized youth, homelessness is not simply a lack of housing—it is a multifaceted crisis that impacts their entire lives. Therefore, CHIL’s mission centers on providing holistic care—addressing not only the housing crisis but also the underlying social and health barriers that prevent youth from moving beyond their experience of homelessness. More than just a residential or case management program, the Covenant House model is unique in its ability to provide trauma-informed, engagement-based services that are directed by youth, informed by staff input, and supported by research. The core of this work is building transformational relationships with young people. CHIL measures impact through individual and program level data collected on entry and exit destinations, employment and education, socio-emotional wellbeing, and more.   
The delivery of developmentally appropriate interventions is dependent upon the unique factors that influence late-stage adolescence, such as increased independence, the establishment of moral, sexual, and vocational identities, and the transition to adulthood. Exposure to violence, sexual assault, poverty, and significant trauma are hallmarks for youth experiencing homelessness within this age range. These experiences can lead to protracted homelessness and an unhealthy delay in the transition to adulthood. In Chicago, homelessness overwhelmingly affects youth in this critical developmental stage. In fact, according to the National Alliance to End Homelessness, youth ages 18-24, make up 90 percent of all youth experiencing homelessness nation-wide.  Our highly trained staff implement programs that support young people on a continuum of care so youth can break the cycle of homelessness and obtain long-term housing stability.</t>
  </si>
  <si>
    <t>Financial Management Practices  
CHIL’s administrative staff has expert level knowledge and combined 70 years of experience managing grants across all levels of government and the private philanthropy sector. Covenant House Illinois' Finance Department monitors day-to-day program expenditures and ensures appropriate fiscal controls and records are in place. We also gain critical insight and financial operations assistance from the Covenant House International finance team.  
Our Director of Finance is responsible for monitoring all agency program expenditures and establishing appropriate internal financial controls and records. Additional staff includes our bookkeeper, responsible for supervising the quality of accounting and financial reporting for the entire organization. These staff members process voucher requests and provide payroll accounting and clerical support. Additionally, other controls include a uniform budgeting process and standardized software for all accounting-related functions. As part of a wider federation, Covenant House Illinois is supported by a team of finance specialists from Covenant House International.  
The Executive Director reviews monthly financials and along with the leadership team ensures that program expenditures are in line with approved budgets. At the Board governance level, fiscal reporting at regular meetings ensures proper oversight and needed checks and balances are in place. 
Financial Sustainability and Diversity of Funding Sources 
Since establishing services in 2017, the need for CHIL’s programs has steadily increased. In response, our Development team has successfully executed a $12 million capital campaign, enabling the renovation of our three-story campus. Additionally, we have steadily increased operating funds through a combination of restricted and unrestricted donations. 
Strategic planning is at the core of our sustainability efforts. We have developed a comprehensive three-year plan that outlines clear goals, objectives, and strategies for the future. Our aim is to create a diversified funding base that offers both flexibility and long-term stability. To achieve this, we are pursuing a multifaceted approach, which includes soliciting support from foundations, individuals, and government agencies. This strategy involves regular prospect research to identify new foundation funding sources. 
With expertise from our Chief Development Officer and Associate Director of Development-Donor Relations, CHIL has implemented moves management, expanded our major gift donor base, and developed legacy giving programs. We are also actively seeking new prospects and transformational gifts (6-7 figures). In addition to these efforts, we recognize the importance of diversifying our funding streams and are exploring alternative sources such as grants, sponsorships, donations, and revenue-generating activities. 
Building a strong, ongoing relationship with our dedicated board of directors and stakeholders is another key focus. These relationships help us advocate for continued support and funding. By demonstrating the impact of our programs and engaging with the community, we aim to secure the necessary resources for our initiatives. 
Efforts to ensure long-term sustainability also include building an operating reserve. Investments in staff development, community engagement, and diversity, equity, and inclusion remain ongoing. Any evolution in our programming will reflect our commitment to lifelong learning, expanding outreach, and advocating for structural changes to address homelessness.</t>
  </si>
  <si>
    <t>Private: 
Schreiber Family Foundation - $130,000 
Reva and David Foundation - $100,000 
Chicago Community Trust - $100,000 
Public: 
ARPA/Cook County - $1,600,000  
DFSS - $589,927</t>
  </si>
  <si>
    <t>Private: 
Accenture - $32,000 
Dr. Scholl Foundation - $40,000 
Flowers for Dreams Foundation - $25,000 
Public:  
DFSS - $1,000,000 
IDHS - $500,000 
Cook County - $250,000</t>
  </si>
  <si>
    <t>https://www.jotform.com/uploads/Sol_Flores_sflores/242752736237461/6151207041133973928/CHIL%20IRS%20501c3%20Letter.pdf
https://www.jotform.com/uploads/Sol_Flores_sflores/242752736237461/6151207041133973928/FY25%20CHIL%20Organization%20Budget.pdf
https://www.jotform.com/uploads/Sol_Flores_sflores/242752736237461/6151207041133973928/CHIL%20BOD%20List.pdf
https://www.jotform.com/uploads/Sol_Flores_sflores/242752736237461/6151207041133973928/CH%20Illinois%20Financial%20Statements%202024.pdf
https://www.jotform.com/uploads/Sol_Flores_sflores/242752736237461/6151207041133973928/Key%20Personnel_CHIL.pdf</t>
  </si>
  <si>
    <t>https://www.jotform.com/uploads/Sol_Flores_sflores/242752736237461/6151207041133973928/Justus_CHIL%20Youth%20Success%20Story.pdf
https://www.jotform.com/uploads/Sol_Flores_sflores/242752736237461/6151207041133973928/Strategic%20Plan%20_%20Covenant%20House%20IL.pdf
https://www.jotform.com/uploads/Sol_Flores_sflores/242752736237461/6151207041133973928/FY24%20Impact%20Report_CHIL.pdf</t>
  </si>
  <si>
    <t>sdeltoro@eriefamilyhealth.org</t>
  </si>
  <si>
    <t>Erie Family Health Foundation</t>
  </si>
  <si>
    <t>81-4172423</t>
  </si>
  <si>
    <t>1701 W. Superior</t>
  </si>
  <si>
    <t>Third Floor</t>
  </si>
  <si>
    <t>www.eriefamilyhealth.org</t>
  </si>
  <si>
    <t>Melissa</t>
  </si>
  <si>
    <t>Hilton</t>
  </si>
  <si>
    <t>VP of Development and Executive Director, Erie Family Health Foundation</t>
  </si>
  <si>
    <t>mhilton@eriefamilyhealth.org</t>
  </si>
  <si>
    <t>312-432-7463</t>
  </si>
  <si>
    <t>Del Toro</t>
  </si>
  <si>
    <t>Senior Director of Development</t>
  </si>
  <si>
    <t>3124327371</t>
  </si>
  <si>
    <t>1957</t>
  </si>
  <si>
    <t>721</t>
  </si>
  <si>
    <t>8</t>
  </si>
  <si>
    <t>From a staff perspective, of our 825 member staff, 6.3% is Asian, 10.2% is Black, 56.4% is Latino and 23% is White, while 3% is Other or Two or More Races.  Our staff gender composition is as follows: 87% female, 12% male, 0.64% non-binary, and 0.64% non-specified. For our twenty-member board of directors, the racial and ethnic composition is as follows: 25% Latino, 15% Black, 10% Asian, and 50% White including one individual who is Middle East and North African.  Uniquely as a federally qualified health center, 60% of our board are patients or the parents of patients and as such are direct consumers of our services. Further, our board gender composition is as follows: 55% female, 45% male.</t>
  </si>
  <si>
    <t>Erie Family Health Centers (Erie) is a healthcare home to more than 95,000 patients, mostly low-income, who are served in the Chicago area at thirteen locations. Erie’s steadfast commitment to helping patients in need is reflected in our mission statement: Motivated by the belief that healthcare is a human right, we provide high quality, affordable care to support healthier people, families and communities. Erie serves patients experiencing poverty, and nearly 88% of Erie patients are either Medicaid recipients or have no health insurance. Erie’s patient population reflects the service areas where our health centers are located, and 66% of our patients are Latino and 10% are Black. 
In 2017, Erie created the Erie Family Health Foundation (EFHF) as a supporting foundation to complement its patient-majority governing board. Our Foundation’s board members are focused on building philanthropic relationships and securing investments in essential programs and services that would otherwise be unavailable to Erie patients. The board leverages their connections, networks and resources to advance fundraising efforts with individuals, events, foundations and corporations. Every dollar donated to EFHF is directed to programs and services at Erie Family Health Centers.</t>
  </si>
  <si>
    <t>Reproductive Health</t>
  </si>
  <si>
    <t>Primary Focus: Erie takes a holistic approach to reproductive health equity that supports patients across the lifespan and promotes healthy pregnancies and a healthy start in life for babies.  As the activities below reflect, the proposed project will: (1) provide comprehensive reproductive health services to our patient population; (2) provide holistic maternal health and supportive services to Erie’s more than 4,000 pregnant patients and their children and; (3) support Erie’s ability to respond to emerging threats and opportunities in the healthcare landscape in the development of its maternal health programs. 
Target Population: Erie is particularly skilled at addressing health disparities and responding to the special health needs of women, who represent the majority of our patients  (61%). Ninety percent of Erie’s patients subsist at income levels below 200% of the federal poverty level. Erie also serves predominantly people of color; 66% of patients are Latino, 10% are Black, and 49% are best served in a language other than English, with 97 unique languages spoken among our patient population.  
Erie has deep expertise caring for pregnant and postpartum patients and ensuring that they achieve the best possible outcomes. In calendar year 2023, Erie served more than 24,000 female patients ages 18-44 and a total of 5,252 prenatal care patients. Approximately 2,300 prenatal patients had babies delivered by Erie providers during 2023, ranking Erie the highest in the state and in the top 1% nationwide for the number of babies delivered. In FY24, Erie's OB/GYN physicians served patients through over 34,707 visits and our Certified Nurse Midwives served patients through an additional 24,494 visits.  In addition to expert medical care, Erie has dedicated programming for reproductive health, including family planning for birthing age adults, case management through the prenatal and postpartum period, dental care, behavioral health services and more throughout pregnancy. Among Erie’s pregnant patients, 63.7% identified as Latino and 7.4% identified as Black. A significant percentage identified as mixed race or chose not to disclose. 
Key Activities: In addition to exploring enhancements to our service model, Erie will provide health care as well as a suite of robust supportive services that have enabled us to achieve leading outcomes for patients, including:
1)	Verification of Pregnancy: Erie will offer verification of pregnancy and options counseling for both patients and community members and assess and link patients to appropriate services. We will continue to promote these services as well as the additional services described below throughout the service area.
2)	Chronic Disease management: Erie will provide programs and services to help pregnant patients manage chronic conditions such as diabetes and hypertension through bilingual health education and hands-on instruction, development of self-management plans, and  outreach to patients who have fallen out of care. 
3)	Prenatal care: Erie OB/GYN, Family Medicine Providers, and Certified Nurse Midwives provide a full range of prenatal care consistent with American College of Obstetricians and Gynecologists (ACOG) and other requirements.
4)	Well Woman Visits: Erie providers will offer a full range of preconception health and well-woman care including pelvic and breast exams, cervical cancer screening, review of menstrual and reproductive history, basic gynecological ultrasounds, and colposcopy.
5)	Family Planning: Erie will provide a broad range of programs and services such as contraceptive access and education, counseling, examinations, assistance to achieve pregnancy, physical assessment, basic infertility services, STI testing and treatment, preconception health services, adolescent-friendly health services and vasectomies.
6)	Oral Healthcare: Erie will provide preventative, prosthodontic, endodontic and emergency and periodontal services for pregnant patients at four of its locations.
7)	Case Management and WIC: Case managers will assist Erie’s pregnant patients to find safe, secure shelter, enroll them in programs and provide counseling, health navigation, breastfeeding and nutrition support, and linkages to address social determinants of health.
8)	Behavioral health: Erie will offer behavioral health services to patients with low level to serious mental health concerns as well as monitor a registry of pregnant patients with symptoms of depression.
9)	Social Determinants of Health. Erie’s SDoH Care Coordinators will provide a range of support to help patients navigate the healthcare and social services landscape to overcome health related social need barriers including support like  getting access to food, filling out applications for rental assistance, accessing transportation and durable medical equipment, scheduling referrals, and getting connected to essential resources such as baby items and housing. 
10)	Pediatric Care.  Erie’s pediatricians visit infants at the hospital post-delivery to ensure continuity of care at Erie.  Infants can also be enrolled as patients at Erie ensuring access to recommended immunizations and well child visits.</t>
  </si>
  <si>
    <t>Erie measures the success of our efforts by the number of patients we serve and the quality of our outcomes in serving our patients.  Erie has a robust evaluation model in place and is committed to thorough and continuous evaluation of its services and activities. Throughout our organization, from direct patient care to data collection, we examine all aspects of our performance using highly qualified staff and technically advanced tools. Each year Erie establishes clinical goals based on the past year’s performance; we call these Clinical Quality Enterprise Goals. Erie’s clinical leadership team, led by our Chief Clinical Officer, Caroline Hoke, MD, places a focus on areas of care where we see room for improvement. Our dedication to evaluating our work begins with Erie’s leadership, as annual quality goals are established by the Executive Leadership Team, approved by the Board of Directors, and reviewed regularly. Every Erie staff member also participates in a formal performance evaluation twice per year. Erie’s agency-wide evaluation efforts primarily involve the work of two Erie teams: Business Intelligence and Business Transformation. 
To accurately measure the success of our efforts towards each objective, Erie’s key project personnel, the Medical Director of Reproductive Health (Irwin), the Senior Director of Patient Programs and Health Equity (Llaneza), Director of Operations (Fabi) and the Director of Patient Programs and Health Equity (Matias) will regularly evaluate progress during workgroup meetings to make any adjustments and ensure all outcomes are met. The outputs that will be tracked and reported quarterly for the program include the following:
•	Number of medical visits for pregnant and postpartum patients
•	Number of case managed pregnant and postpartum patients served
•	Number of positive connections to resources for case managed patients
•	By the end of the funding period, Erie will ensure 2,500 patients received outreach related to post-partum visits.
•	By the end of the funding period, Erie will ensure workflows and reporting will be refined to improve outreach attempts for missed prenatal appointments.
•	By the end of the funding period, Erie will ensure that 2,300 behavioral health visits are scheduled for pregnant and postpartum patients.
•	By the end of the funding period, Erie will ensure that 520 psychiatry visits are held for pregnant and postpartum patients. 
•	By the end of the funding period, Erie will ensure that 3,700 pregnant and postpartum patients receive health education.
•	By the end of the funding period, leadership will conduct an assessment of emerging reimbursement models and finalize a plan for adaptation of maternal health supportive service model including updates to team structure and workflows
•	Provide 600 Long-Acting Reversible Contraceptive devices, placed in clinic or after delivery in the hospital.
•	82% of women at Erie’s sites ages 23-64 will be screened for cervical cancer
•	93% of babies delivered to Erie patients will have normal birthweights</t>
  </si>
  <si>
    <t>Dr. Tracy Irwin, MD, MPH, Hospira Endowed Medical Director for Reproductive Health, will provide clinical oversight for the proposed program. Dr. Irwin oversees a reproductive health workforce and clinical programs that span 40 miles and provide obstetrics and gynecologic services at 13 outpatient sites and three partner hospitals. Her clinical practice includes the full scope of obstetrics and gynecology with a special focus on vulnerable populations. Dr. Irwin is board-certified by the American Board of Obstetrics &amp; Gynecology and has been providing OB/GYN care as well as family planning services since completing her OB/GYN residency at the University of Pittsburgh in 2005. In addition to her many medical leadership positions, she has also taught and lectured extensively about reproductive and maternal health.  Dr. Irwin was recently recognized as a Chicago area Top Doctor in Chicago Magazine.
Josephine “Josie” Llaneza, MPH, Senior Director of Patient Programs and Health Equity, will provide programmatic oversight for the program. Josie Llaneza is the Senior Director of Patient Programs and Health Equity and provides strategic direction on all patient programs and supportive services including our Social Drivers of Health Initiatives, Research and Evaluation, and Maternal Health Case Management services. Prior to joining Erie, Ms. Llaneza served as Vice President of Operations Integration and Administrative Program Director of The Detroit Wayne County Health Authority. She has a Master of Public Health from University of Michigan School of Public Health and was a Curriculum Committee Member of the Certificate in Population Health and Health Equity Program.
Maria Matias joined Erie in 2007 in our Maternal Child Health Case Management program. She was promoted to Director of Patient Programs and Health Equity. She leads and supports over 30 team members who are dispersed across all of Erie’s sites and work with some of our most vulnerable families. Daily, Maria and her team are confronted with the variety of barriers, hurdles, and trauma that our youngest population, and those that care for them, live with and are trying to navigate. Her work ethic, leadership skills, dedication to our patients, and her in-depth understanding of the impact of our internal and external systems have propelled her into her latest role.  She provides oversight of Erie’s reproductive and child health promoters, maternal case managers and a variety of supportive services to ensure that Erie’s youngest patients and those who care for them have resources to lead a healthy life.
Rovee Fabi, Director of Operations provides operational oversight for reproductive health programming.  Prior to joining Erie in 2022, she served in operational roles in additional FQHCs.</t>
  </si>
  <si>
    <t>As outlined further below, in addition to ensuring majority representation of patients on our board of directors, Erie has additional channels to ensure the community we serve is actively engaged in decisions that impact their health.  Erie has a dedicated Community Engagement team that partners with other community-based organizations to listen to community needs and provide education and outreach on health-related topics.  Individual programs also engage community members to improve program services. For example, Erie’s Lending Hands for Life (LHL) Program, a program serving individuals living with HIV, has a Consumer Advisory Council, a bilingual group made up of HIV positive patients. These members give ongoing feedback on the LHL Program and help us improve our quality management plan. Furthermore, Erie maintains a school-based health center advisory board which includes youth, parents, Chicago Department of Public Health, Chicago Public Schools’ Central Office, school administrators as well as close collaborative relationships with the leadership at each of our schools to allow for us to ensure our programming and services are responsive to the needs of the school and community.
Erie also engages the community through conducting ongoing patient satisfaction surveys, in which patients are asked how they feel about the care they receive at Erie. Surveys are given in Spanish and English, and patients have the opportunity to suggest changes to improve services at Erie. These surveys give us real-time feedback from patients and allow us to compare survey results with local and national peers. While previously we used paper surveys handed out at the front desk, our Press-Ganey surveys are texts that go out to adult patients within 24 hours of the appointment, with a follow-up link sent if the text is not opened within a day. We also do a monthly mailing to about 50 patients.  Our teams regularly review data provided by these feedback surveys to identify opportunities to make care more responsive to patients.
Finally, Erie also has a Patient Feedback line through which patients have access to numerous means of communicating feedback (phone number, email address, and comment cards are located at each site).</t>
  </si>
  <si>
    <t>Erie has negotiated agreements to ensure that uninsured and underinsured patients who qualify for our sliding-scale fee have access to low or no cost hospitalization and specialty services. Affiliation agreements with hospital partners, including Northwestern Medicine, Ann and Robert H. Lurie Children’s Hospital, and Endeavor Health, help patients on Erie’s sliding-scale fee receive charity care for hospital specialty and inpatient services.  In CY2023, Erie delivered 2,853 babies at three partner hospitals, including 1,220 for CY2024 at Prentice Women’s Hospital.  As mentioned above, Erie’s affiliation agreements also allow Erie OB/GYNs to deliver many of our own infants. While Erie does utilize hospitalists at two partner hospitals, the majority of babies are delivered by our own delivery teams, ensuring high quality outcomes and continuity of care. 
Additionally, Erie focuses on critical community partnerships that help patients address health related social needs that are barriers to achieving good health. To create a community-based system of support, Erie has MOUs in place with numerous organizations serving the population. For example, Erie makes substance use treatment services available through partnerships with Healthcare Alternative Systems (H.A.S.). New Moms, Inc. ensures that all its clients are enrolled in Family Case Management (FCM) and receive prenatal care and post-delivery follow-up at Erie. Barreto Boys and Girls Club refers children in need or pregnant or parenting youth to our program. 
In addition, Erie is a partner in Illinois Contraceptive Access Now (ICAN!), a statewide initiative to advance reproductive health equity by improving the quality and coverage of contraceptive care at community health centers. As one of 12 Chicago-area partners, interested patients can enter their contact information and get linked directly to Erie for reproductive healthcare for access to same day appointments.</t>
  </si>
  <si>
    <t>We are committed to ensuring Erie is a workplace where all employees feel a strong sense of belonging and have made this a strategic priority. Erie’s DEI purpose statement says, in part, “We acknowledge the deep history of systemic oppression, racism, and discrimination that plagues our communities. We recognize that these marginalized groups have long been denied access to quality healthcare, education and employment opportunities which has led to devastating health disparities. Erie is committed to confronting these inequities, challenging ourselves to work with excellence and humility, and keeping ourselves open to critical conversations that encourage learning, progress, and change.” 
Erie’s model addresses key barriers to receiving care. For example, we ensure that our diverse patient population can access healthcare delivered in their preferred language. Among Erie patients, 49% prefer to be served in a language other than English. While the majority speak Spanish, increasingly our health centers are seeing patients coming from countries in Africa, the Middle East and Asia. Erie offers interpretation services to any patient who speaks a language other than English. In CY24, we offered interpretation in more than 97 different languages, including video interpretation for people who speak American Sign Language. Through local partnerships, Erie has also bolstered our ability in recent years to reach prospective patients that are hard to reach with targeted marketing and communications that are inclusive of racial, cultural, or linguistic representation, as well as accessible web or print materials visible and eligible to those with low health literacy or low sight.
Erie also has systems in place to ensure patients have a voice in decisions made by the health center and what types of care they are receiving. As a federally qualified health center (FQHC), Erie has a patient-majority board. Erie’s current board consists of 20 members, of whom 12 are current Erie patients (60%). At the highest level of governance, approval for major decisions – including the retention of the President and CEO, policy changes, and significant health center initiatives – requires the participation and support of community representatives on Erie’s board. Erie conducts ongoing patient satisfaction surveys, in which patients are asked how they feel about the care they receive at Erie. Surveys are given in Spanish and English, and patients have the opportunity to suggest changes to improve services at Erie. Erie also has a Patient Feedback line through which patients have access to numerous means of communicating feedback (phone number, email address, and comment cards are located at each site). 
Finally, to most effectively address the cultural needs of our patient population and to help build trust between patients and providers, Erie has a policy and practice of recruiting our staff from the communities we serve. A majority of patient-facing staff are bilingual (Spanish/English), and interpretation services are offered free of charge in over 90 languages.  In addition, Erie has diverse representation of staff between its Executive Leadership and Leadership Teams — a total of 62 staff members who represent all departments across the organization. More than 80% of leadership staff are women and fifty-three percent of our executive and leadership teams are people of color. Our Leadership Team includes Latino, Asian, Black, and mixed-race staff members as well as representatives from the LGBTQ+ community.</t>
  </si>
  <si>
    <t>Erie steadfastly believes that non-medical factors outside the exam room like fresh food access, housing, transportation, education, and employment, also known as social drivers of health (SDoH), affect as much as 50% of an individual’s health outcomes.  To that end, Erie created our Social Drivers of Health (SDoH) program in 2020. SDoH care coordinators connect patients with internal and community resources to meet basic needs, like housing and food assistance, transportation, and baby items. In 2024, our SDoH team screened over 48,800 patients with more than 14,200 who screened positive for urgent needs and were supported by Erie’s care coordinators. 
In  working together with organizations to help patients navigate health systems, social services, and government, Erie’s innovative  model helps remove institutional barriers and promotes health equity more systemically by mitigating the root causes of poor health outcomes that result from unequal social, economic, and environmental conditions to maximize health outcomes.   Erie ensures that every patient has access to these tools and an array of supportive services tiered based on risk.  As the majority of our enabling services are delivered virtually or via hybrid model, Erie centralizes the entry and referral to supportive services, through our Social Drivers of Health Program, as a baseline supportive service delivered to all patients, to facilitate comprehensive coordination. In addition to facilitating access to identified barriers, as described above, SDoH care Coordinators will assess and link patients to Erie’s other enabling services such as case management, tiered based on risk factors.</t>
  </si>
  <si>
    <t>While Erie emerged from the pandemic in a strong financial position, we have been facing challenges with rising expenses and declining revenues as federal COVID relief dollars ended and revenue from our 340B pharmacy program continues to decline as well. Our board approved a deficit budget this fiscal year of $1.5 million, providing us a period to transition our model of care to support long-term sustainability. Of note, Erie’s FY25 budget includes depreciation, a non-cash item. If depreciation and other non-cash items were removed, we would show a surplus on a cash basis of $2.7M. Thus far in FY25, Erie has worked diligently to outpace projected revenues and control expenses, and we are tracking ahead of budget for the year. Further, Erie’s board recently approved a multi-year strategic plan accompanied by a three-year financial projection showing positive net income. In the wake of threats and potential pauses to federal funding, Erie remains steadfast in our commitment to provide healthcare services to all and we have more than eight (8) months of cash reserves on hand to weather any delays in payments.
Erie has a proven track record managing federal, state, local, and private grants, with robust internal controls, including financial oversight and monthly expenditure tracking. Through robust policies and procedures, Erie currently manages over $30 million in federal, state, local and private grants. In FY24, 16% of Erie's $120M budget came from federal, state, and local grants with another 15% coming from other philanthropic sources. In addition, more than $1.5 million comes from individual giving and events. Grant financial administration is managed by a team led by Erie's Supervisor of Grants Accounting that maintains monthly grant expenditure trackers to ensure spending is occurring according to budget plan.</t>
  </si>
  <si>
    <t>•	State of Illinois Title X: $815,000
•	State of Illinois Maternal Case Management: $1,551,310
•	State of Illinois, Better Birth Outcomes:	$388,080</t>
  </si>
  <si>
    <t>•	State of Illinois Maternal Case Management: $1,200,000
•	State of Illinois Title X: $700,000
•	Schreiber Philanthropies: $303,000</t>
  </si>
  <si>
    <t>86.6</t>
  </si>
  <si>
    <t>13.4</t>
  </si>
  <si>
    <t>Erie serves all age groups across the life span.</t>
  </si>
  <si>
    <t>94%</t>
  </si>
  <si>
    <t>https://www.jotform.com/uploads/Sol_Flores_sflores/242752736237461/6151139338128490855/Program%20Budget.xlsx
https://www.jotform.com/uploads/Sol_Flores_sflores/242752736237461/6151139338128490855/FY25%20ORG%20Budget%20with%20note%20v3%202025-01-29.pdf
https://www.jotform.com/uploads/Sol_Flores_sflores/242752736237461/6151139338128490855/EFHC%20990%20FY23.pdf
https://www.jotform.com/uploads/Sol_Flores_sflores/242752736237461/6151139338128490855/Erie%20FS%20FY24%20-%20Final.pdf
https://www.jotform.com/uploads/Sol_Flores_sflores/242752736237461/6151139338128490855/EFHF%20Board%20List%20November%202024.docx
https://www.jotform.com/uploads/Sol_Flores_sflores/242752736237461/6151139338128490855/Board%20of%20Directors%2C%20Erie%20Family%20Health%20Centers%2C%20FY25_updated%201.10.2025.pdf
https://www.jotform.com/uploads/Sol_Flores_sflores/242752736237461/6151139338128490855/Erie%20IRS%20501c3%20Exemption%20Letter.pdf
https://www.jotform.com/uploads/Sol_Flores_sflores/242752736237461/6151139338128490855/EFHF%20Tax%20Exempt%20Letter.pdf
https://www.jotform.com/uploads/Sol_Flores_sflores/242752736237461/6151139338128490855/156_EFHF%20Tax%20Exempt%20Letter_912.pdf
https://www.jotform.com/uploads/Sol_Flores_sflores/242752736237461/6151139338128490855/156_Erie%20IRS%20501c3%20Exemption%20Letter_2419.pdf
https://www.jotform.com/uploads/Sol_Flores_sflores/242752736237461/6151139338128490855/156_Board%20of%20Directors%2C%20Erie%20Family%20Health%20Centers%2C%20FY25_updated%201.10.2025_5128.pdf
https://www.jotform.com/uploads/Sol_Flores_sflores/242752736237461/6151139338128490855/156_EFHF%20Board%20List%20November%202024_8357.docx
https://www.jotform.com/uploads/Sol_Flores_sflores/242752736237461/6151139338128490855/156_Erie%20FS%20FY24%20-%20Final_6064.pdf
https://www.jotform.com/uploads/Sol_Flores_sflores/242752736237461/6151139338128490855/156_EFHC%20990%20FY23_2456.pdf
https://www.jotform.com/uploads/Sol_Flores_sflores/242752736237461/6151139338128490855/FY25%20ORG%20Budget%20with%20note%20v3%202025-01-29_6733.pdf
https://www.jotform.com/uploads/Sol_Flores_sflores/242752736237461/6151139338128490855/Program%20Budget_5605.xlsx
https://www.jotform.com/uploads/Sol_Flores_sflores/242752736237461/6151139338128490855/Bios.pdf</t>
  </si>
  <si>
    <t>https://www.jotform.com/uploads/Sol_Flores_sflores/242752736237461/6151139338128490855/219_FY25%20ORG%20Budget%20with%20note%20v3%202025-01-29_243.pdf
https://www.jotform.com/uploads/Sol_Flores_sflores/242752736237461/6151139338128490855/219_Program%20Budget_9124.xlsx</t>
  </si>
  <si>
    <t>Feb 10, 2025</t>
  </si>
  <si>
    <t>mmadison@allchicago.org</t>
  </si>
  <si>
    <t>All Chicago Making Homelessness History</t>
  </si>
  <si>
    <t>36-4272272</t>
  </si>
  <si>
    <t>651 W Washington Blvd</t>
  </si>
  <si>
    <t># 504</t>
  </si>
  <si>
    <t>60661</t>
  </si>
  <si>
    <t>https://allchicago.org/</t>
  </si>
  <si>
    <t>Mark</t>
  </si>
  <si>
    <t>Madison</t>
  </si>
  <si>
    <t>Director of Grants</t>
  </si>
  <si>
    <t>8722911290 Ext. 8115</t>
  </si>
  <si>
    <t>30</t>
  </si>
  <si>
    <t>Currently All Chicago's Board of Directors is made up on 18 members; 10 of whom identify as women and 8 as men; 13 identifying as White, 3 as African American/Black, 1 as Asian/Pacific Islander and 1 as Multi-racial; and 12 members are 65+ years of age, 6 are 31-50. 
All Chicago's staff demographics for gender identity show a makeup of 73% Female, 25% Male and 2% Unknown/Request Not to Say. The staff race/ethnicity breakdown shows 40% White, 34% African American/Black, 17% Hispanic/Latinx, 5% Asian and 4% Multi-Racial.</t>
  </si>
  <si>
    <t>All Chicago’s mission is to unite our community and resources to provide solutions that ensure and sustain the stability of home.
All Chicago's Vision is that in our community, everyone has a home.
All Chicago embodies the values of Community, Diversity, Adaptability, Collaboration, Excellence and Integrity.</t>
  </si>
  <si>
    <t>All Chicago meets the needs of its neighbors experiencing or at-risk of homelessness through targeted emergency assistance addressing needs other funds cannot, through community partnerships across the city that help diverse populations and through data infrastructure and capacity building that ensure these partners have the information and preparation needed to meet old and new challenges.</t>
  </si>
  <si>
    <t>75000</t>
  </si>
  <si>
    <t>By combining public eviction prevention funds with the private Emergency Fund All Chicago can fill gaps where certain costs are either unallowable or funds move too slowly from the public sector to ensure people retain their housing. Of the more than 1,100 households served through Emergency Financial Assistance by All Chicago, 352 were only possible because of the private, flexible Emergency Fund. More than seven out of ten households surveyed from Q1 through Q3 of 2024 remained stably housed 90 days after receiving assistance. Keeping families in their current housing provides the best platform from which they can achieve long-term housing stability.
Through 30 Accelerated Moving Events All Chicago was able to match 644 participants with housing. Additionally, 59% of those were stably housed within two months of entering homelessness significantly reducing needed resources and trauma of a longer experience of homelessness.
Chicago Rents currently holds over 600 property management relationships. In 2024 the dashboard identified 1,620 new units and had687 case managers matching clients to units. All Chicago is still learning how to most impactfully measure the value of long-term landlord relationships.
All Chicago’s online Learning Management System allows live and recorded trainings to bolster the capacity of the Continuum of Care. In 2024 All Chicago hosted 43 live trainings, made 76 recorded trainings available and had over 1,200 unique training participants across all trainings. A better trained and collaborative homeless response system creates greater efficiencies in resource allocation and effectiveness in providing services that rehouse participants and keep them housed.</t>
  </si>
  <si>
    <t>Carolyn K. Ross, Chief Executive Officer - Ms. Ross is a respected, proven leader with 38 years of experience working in the field of human services in Illinois. She has developed and implemented programs including prevention and intervention services for youth and families; prevention and substance use disorder treatment for youth and adults; criminal justice diversion programs; child welfare, and strategies to help build community capacity. Ms. Ross currently serves as President and CEO of All Chicago Making Homelessness History. She is a graduate of DePaul University.   
Nicole Bahena, Vice President of Community Partnerships - Nicole is deeply committed to supporting the work of our partners on the frontlines of ending homelessness. At All Chicago, Nicole oversees All Chicago’s Emergency Fund Program, HUD NOFO and Collaborative Applicant Process, the Learning Center, Rapid Re-Housing, and CoC structure. 
Beth Horwitz, Vice President of Strategy and Innovation - Beth is deeply committed to targeting the root issues and needs that lead to cycles of homelessness. At All Chicago, Beth oversees All Chicago’s Emergency Financial Assistance programs, Coordinated Entry, HMIS and Employment and Income supports.</t>
  </si>
  <si>
    <t>All Chicago prioritizes community engagement by establishing relationships that fill the Lived Experience Commission of the Continuum of Care. These leaders are people of lived expertise in homelessness who contribute their perspective, energy and connections to the decision-making work of the Continuum of Care. Additionally, the Youth Action Board is a similar group made up on young people ages 16-24 of lived expertise in homelessness that provide similar input and engagement. There is always at least one member of each of these groups represented on the Continuum of Care Board of Directors and a member of the Lived Experience Commission holds a standing position on the All Chicago Board of Directors as well. All Chicago dedicates staff to supporting the participation and continued stability of those who have committed to serving in this way.</t>
  </si>
  <si>
    <t>All Chicago serves in critical roles in Chicago’s homeless response community made up of 252 collaborating members, the Continuum of Care (CoC). All Chicago leads and collaborates in this space as the lead applicant for $100,000,000+ of federal support; provides the Homeless Management Information System (HMIS) database containing data on Chicagoans experiencing, or at risk of, homelessness; as well as overseeing the Coordinated Entry system, Chicago’s central access point to services that allows real time understanding of available resources, connects individuals to them and then monitors the status of those being served. All Chicago also supports the CoC with professional trainings and ongoing administrative efforts. 
All Chicago also coordinates city-wide efforts like the Unsheltered Housing Initiative and the newly HUD-awarded Youth Homelessness Demonstration Program.</t>
  </si>
  <si>
    <t>All Chicago is committed to equity internally by working to build knowledge and understanding within the agency, standardizing transparency in the hiring process and centering equity in strategic goals.  During hiring and onboarding All Chicago provides transparency to candidates by including salary ranges for job postings and years of experience rather than specific educational qualifications. To create a diverse work environment, All Chicago’s HR conducts annual trainings on performance reviews and hiring best practices and has incorporated specific Diversity, Equity and Inclusion trainings into each new staff’s onboarding plan. All Chicago has had staff examine subcontractor identification and is currently testing a new approach to incorporate DEI questions into Request for Proposal processes. All Chicago has also incorporated DEI questions into its HUD Continuum of Care grant evaluations.</t>
  </si>
  <si>
    <t>All Chicago uses its unique convening and coordinating position to fill gaps and equip the homeless response system to work more efficiently and effectively. All Chicago provides supports like the Chicago Rents housing dashboard for case workers and landlords and Accelerated Moving Events that coordinate services into one location for a less burdensome and more efficient rehousing experience. These efforts support the entire system's ability to rehouse people more swiftly. Accelerated Moving Events combined with other efforts created substantial impact when first piloted showing a 27 day decrease in time to housing from homelessness and has now become a standard practice.
All Chicago’s Emergency Fund empowers agencies to provide payments for things like rent, utilities and public transportation that ensure individuals retain and obtain stable housing when other funding presents barriers. With nine people newly becoming homeless for every one person being rehoused in 2024, it stands to reason that just as much as it is critical people are rehoused, All Chicago needs to focus on homelessness prevention. By combining public eviction prevention funds with the private Emergency Fund All Chicago can fill gaps where certain costs are either unallowable or funds move too slowly from the public sector to ensure people retain their housing. From Q1 to Q3 of 2024 more than 70% of those served by the Emergency Fund remained stably housed 90 days after they were assisted.
All Chicago leads the CoC’s joint application for $100,000,000+ of federal support; provides the Homeless Management Information System (HMIS) database containing data on Chicagoans experiencing, or at risk of, homelessness; and oversees the Coordinated Entry system, Chicago’s central access point to services for those in need and monitoring the status of that service.  
All Chicago goes beyond providing resources by producing indispensable professional training and peer to peer connections that optimize best practice usage. All Chicago’s online Learning Management System allows live and recorded trainings to bolster the capacity of the CoC.</t>
  </si>
  <si>
    <t>Roughly 90% of All Chicago's revenues come from government funding though within that category it receives funds from the City of Chicago, the State of Illinois and HUD, making it somewhat diverse within its public funding streams. In private revenue All Chicago receives most of its support from grants and individuals with grants being a larger portion of the two.
All Chicago takes seriously its role as a fiduciary partner with government and private funders. As the collaborative applicant to HUD for the Chicago Continuum of Care, All Chicago has significant experience managing the reporting, performance and compliance that comes with this responsibility. All Chicago staffs an experienced team of finance professionals who oversee and monitor the expenditures of internal and contracted services. All Chicago manages its liquidity and reserves adhering to the following principles:  operating within a prudent range of financial soundness and stability, incurring unbudgeted costs only when such costs are funded and maintaining adequate liquid assets to fund near-term operating needs. 
All Chicago has strong fiscal and administrative procedures with appropriate controls in place. Subrecipients are be required to submit vouchers to the All Chicago finance department. Vouchers include all required supporting detail. A financial coordinator first reviews and approves the voucher for completeness, cost eligibility and consistency with the budget. The Senior Finance Manager provides second review and approval. The Chief Financial Officer provides a third approval for payments over $3,000. All Chicago program staff train agencies on client eligibility and verify eligibility of clients through regular monitoring of client files. 
All other costs are subject to All Chicago Financial policies and procedures which require at least two levels of approval for all invoices. All Chicago uses an automated accounts payable workflow system to ensure that all levels of approval are obtained before payment.</t>
  </si>
  <si>
    <t>Private
Crown Family Philanthropies - $400,000
Polk Bros Foundation - $150,000
Anonymous foundation - $125,000
Public
Chicago Department of Family Support Services - $39,840,663
Illinois Department of Human Services - $25,707,886
Housing and Urban Development - $4,884,205</t>
  </si>
  <si>
    <t>Private
Crown Family Philanthropies - $200,000
Chicago Community Trust - $100,000
Anonymous foundation - $100,000
Public
Chicago Department of Family Support Services - $39,840,663
Illinois Department of Human Services - $25,707,886
Housing and Urban Development - $9,884,205</t>
  </si>
  <si>
    <t>None</t>
  </si>
  <si>
    <t>https://www.jotform.com/uploads/Sol_Flores_sflores/242752736237461/6150115365991423981/2023_990.pdf
https://www.jotform.com/uploads/Sol_Flores_sflores/242752736237461/6150115365991423981/All%20Chicago%20501%28c%29%283%29%20Determination%20Letter%20Updated%201.30.2023.pdf
https://www.jotform.com/uploads/Sol_Flores_sflores/242752736237461/6150115365991423981/FY23_Final%20Audit%20Report.pdf
https://www.jotform.com/uploads/Sol_Flores_sflores/242752736237461/6150115365991423981/All%20Chicago%20Leadership_Programmatic%20Oversight.pdf
https://www.jotform.com/uploads/Sol_Flores_sflores/242752736237461/6150115365991423981/Board%20List%202025.pdf
https://www.jotform.com/uploads/Sol_Flores_sflores/242752736237461/6150115365991423981/All%20Chicago%20FY25%20Budget.pdf</t>
  </si>
  <si>
    <t>Jan 14, 2025</t>
  </si>
  <si>
    <t>lindam@jane-addams.org</t>
  </si>
  <si>
    <t>1985</t>
  </si>
  <si>
    <t>Dec 20, 2024</t>
  </si>
  <si>
    <t>Dec 10, 2024</t>
  </si>
  <si>
    <t>sharitza.rivera@northwestern.edu</t>
  </si>
  <si>
    <t>Northwestern University</t>
  </si>
  <si>
    <t>Evanston</t>
  </si>
  <si>
    <t>Dec 9, 2024</t>
  </si>
  <si>
    <t>development@ccachicago.org</t>
  </si>
  <si>
    <t>Civic Consulting Alliance</t>
  </si>
  <si>
    <t>45-0467524</t>
  </si>
  <si>
    <t>190 S LaSalle St.</t>
  </si>
  <si>
    <t>39th Floor</t>
  </si>
  <si>
    <t>60603</t>
  </si>
  <si>
    <t>https://www.ccachicago.org/</t>
  </si>
  <si>
    <t>Rebekah</t>
  </si>
  <si>
    <t>Scheinfeld</t>
  </si>
  <si>
    <t>rscheinfeld@ccachicago.org</t>
  </si>
  <si>
    <t>312-853-9160</t>
  </si>
  <si>
    <t>Karrie</t>
  </si>
  <si>
    <t>Miner</t>
  </si>
  <si>
    <t>kminer@ccachicago.org</t>
  </si>
  <si>
    <t>23</t>
  </si>
  <si>
    <t>111</t>
  </si>
  <si>
    <t>Board Demographics:
White - 34 (74%)
Black - 7 (15%)
Asian - 2 (5%)
Latinx - 1 (2%)
Multiracial - 1 (2%)
Prefer not to answer - 1 (2%)
Gender of Board: 25 men, 21 women
Staff demographics:
White - 14 (60%)
Latinx - 3 (14%)
Asian - 2 (9%)
Black - 1 (4%)
Multiracial -1 (4%)
Prefer not to answer - 2 (9%)
Gender of Staff: 16 women, 6 men, 1 prefer not to answer</t>
  </si>
  <si>
    <t>Civic Consulting Alliance's mission is to make the Chicago region a great place for everyone to live in and work. We are a nonprofit organization bringing together collaborative investments to get big things done for Chicago. We provide pro bono consulting services that are amplified by the capacity and expertise of our corporate partners. Together, we work to advance systems-level solutions that untangle interconnected issues like economic and educational opportunity gaps, violence, and injustice that affect residents. 
We build meaningful connections with government, social impact and corporate leaders and provide the capacity needed to advance projects that reshape our region to be more just, equitable, and resilient. Our clients value this effective model as a neutral party that allows for collaborative, intricate, and expedient work. We leverage our institutional knowledge, cross-sector relationships, as well as data, research, and analysis, to inform clients’ decisions and build sustainable solutions. 
Since Mayor Harold Washington first convened a private-sector budget task force in 1985, we have served as an invaluable component of the Chicago region’s civic infrastructure. Every dollar invested in our mission is multiplied fivefold, providing an average of $20 million in pro bono consulting services annually.</t>
  </si>
  <si>
    <t>Economic Vitality</t>
  </si>
  <si>
    <t>Thank you for considering a grant to Civic Consulting Alliance’s Economic Vitality Platform in recognition of the value that Civic Consulting Alliance brings to this critical moment in working with the City of Chicago on the 5-Year Homelessness Plan. 
Our Economic Vitality Platform:
Civic Consulting Alliance’s work on the 5-year Homelessness Plan with the City falls within our Economic Vitality platform, where we are committed to increasing the vitality of our region and reducing disparity between neighborhoods. We invest in building an inclusive and equitable economy that contributes to the long-term vitality of the Chicago region. We focus on:
---&gt;Inclusive regional economic growth
---&gt;Equitable investment across communities
---&gt;Individual opportunity &amp; prosperity
---&gt;Responsive and efficient institution
5-year Homelessness Plan Project:
The Mayor’s Office appointed Sendy Soto to be the City’s first Chief Homelessness Officer. One of her main priorities is to develop a new 5-year plan to reduce homelessness in Chicago. The City’s previous plan was completed in 2012 under the Emanuel Administration. Soto has launched an extensive stakeholder engagement exercise as part of the plan’s development that will take place between October 2024 and February of 2025. Her team will then develop a draft of the plan between March and April of 2025, to be followed by a round of public comment. In addition, Soto has convened an inter-agency task force on homelessness to understand current budgets and initiatives to address this urgent issue and complement the external engagement exercise. 
Civic Consulting Alliance is and will be involved in the plan development process, providing critical thought partnership, project management support, and research and analysis. We are well-positioned to guide the collaboration this project requires, given our deep relationships of trust as a neutral party with local government and various other stakeholders.</t>
  </si>
  <si>
    <t>Civic Consulting Alliance uses several tools to evaluate and guide our organizational success.
First, we select projects to support using a filter scoring system to determine their scope of potential impact and our ability to affect change. Our filter system assesses potential projects based on four themes: (1) fit with our mission; (2) impact, striving towards systemic change; (3) racial equity, as a project focus and/or an approach to examine problems and create solutions; and (4) client strength, in terms of their ability to move the work forward after our project is complete. Specific criteria are used to assess prospective projects across these themes. In the case of racial equity, for example, our criteria are:
---&gt; Equity is a project focus: Equity is explicit in the project objectives/goals
---&gt; Identify and Document Racial Inequities: Indicators/outcomes for project have demographic data available of those impacted and can be disaggregated by race to identify disparities
---&gt;History and Root Cause: Historical context and root cause of problem have been/will be investigated
---&gt;Benefits and Burdens: Current benefits and burdens, along with those most likely to have received each, are identified
---&gt;Stakeholder Identification and Engagement: Those most affected will be meaningfully included in the process and in decision-making
Second, we reflect upon and evaluate the success of our work through our annual Impact Report, which includes metrics and project case studies to summarize our impact over a given fiscal year. For example, as detailed in our 2024 report - here https://www.impactreport.ccachicago.org/ - in our 2024 fiscal year (July 1, 2023 – June 30, 2024), we:
---&gt;Invested $23 million in pro bono consulting services to the region
---&gt;Completed 66 projects with the City of Chicago, Cook County, the State of Illinois, and social impact clients
---&gt;Engaged 29 cross-sector partners
---&gt;Collaborated with 665 people to make Chicago a better place to live and work
We expect to include a case study of our work on the City of Chicago's -Homelessness Plan in our 2025 fiscal year impact report, and will reflect upon and evaluate (qualitatively and quantitatively) the impact of the project at that time.</t>
  </si>
  <si>
    <t>Rebekah Scheinfeld, President and CEO
---&gt;Assumed leadership of Civic Consulting Alliance in March 2020. Led the organization through the multiple crises of 2020 and recovery efforts of 2021 – resulting in the investment of nearly $40 million in pro bono services to the Chicago region over the course of her tenure to date.
---&gt;20 years of experience working on issues vital to Chicago’s success. Previously Commissioner of the Chicago Department of Transportation; Chief Planning Officer and a Senior Vice President at the Chicago Transit Authority; an attorney at Mayer Brown in its Government practice; and a Senior Development Manager at East Lake Management &amp; Development, specializing in affordable housing.
---&gt;Holds a bachelor’s degree in urban studies from Brown University, and a JD and an MBA from Northwestern University. 
Veenu Verma, Principal – Education Platform Lead
---&gt;Joined Civic Consulting Alliance in March 2017. Leads Education platform.
---&gt;Brings deep public sector and consulting experience, including as Executive Director of Early College and Career Education at Chicago Public Schools, and at Protiviti and Arthur Anderson.
---&gt;Holds a bachelor’s degree and a master’s degree in economics from the University of Illinois Urbana-Champaign, and a MPP from the University of Chicago.
Rohan Mascarenhas, Principal – Economic Vitality Platform Co-Lead
---&gt;Joined Civic Consulting Alliance in August 2019. Co-leads Economic Vitality platform.
---&gt;Brings deep experience in consulting, most recently at McKinsey &amp; Company. 
---&gt;He also spent four years as a journalist at the Newark Star-Ledger and as a digital strategist at the Russell Sage Foundation.
---&gt;Holds a bachelor’s degree from Amherst College, a master’s degree in journalism from Syracuse University, and a MPP from Harvard University.</t>
  </si>
  <si>
    <t>Civic Consulting Alliance strives to push our civic institutions toward greater inclusivity, collaboration, accountability, and responsiveness to Chicago's residents. One way that we do so is by selecting and designing projects that meaningfully center communities or beneficiaries in decision making. Below are two recent illustrative examples.
Since 2021, we have leveraged relationships with community anchor organizations, and the collaborative structures we developed through projects like West Side United and the City’s COVID-19 Racial Equity Rapid Response Team, to support the Garfield Park Rite to Wellness Collaborative (GPRWC)—a collaborative to address needs of Garfield Park through engaged, cooperative participation. Our initial support included developing GPRWC’s organizational structure and strategy, operational plans, and roadmaps for key initiatives (e.g. a Quality of Life Plan), to maximize their access to public and private resources. More recently, we provided ad hoc advisory support and legal services (through a pro bono partner) to help GPRWC become an independent 501c3 nonprofit.
From February to March 2024, we supported Chicago Public Schools’ (CPS) Black Student Success Working Group with structuring and implementing stakeholder engagement to gather feedback to develop recommendations to improve how the District supports Black students, with the goal of reversing decades of outcome gaps. Our staff, along with a pro bono fellow, worked alongside volunteers with strong community ties – parents, principals, nonprofit leaders, and engaged citizens – to co-create and co-lead eight roundtable discussions that catered to specific community contexts. Recognizing the importance of lived experience, we took extra care to maintain data fidelity and sent both the raw data and synthesized data to co-leads for approval to ensure we captured the voice of the community.</t>
  </si>
  <si>
    <t>Partnerships are integral to Civic Consulting Alliance’s approach. We have an effective model for addressing systemic problems and achieving lasting change—we leverage the power of public-private collaboration, and a unique approach to management consulting, to channel Chicago’s proud history of civic engagement.
In our most recent fiscal year, Fiscal Year 2024 (July 1, 2023 – June 30, 2024), our partners included:
---&gt;Government agencies, such as Chicago’s Office of the Mayor, Cook County Board President’s Office, Chicago Public Schools, Chicago Public Library, Chicago Department of Planning and Development (DPD), and Chicago Department of Public Health;
---&gt;Philanthropic organizations, such as the Chicago Community Trust, the Joyce Foundation, the MacArthur Foundation, the Polk Bros. Foundation, and Steans Family Foundation;
---&gt;The private sector, including 19 pro bono partners such as Accenture, BCG, Bain &amp; Company, Kearney, KPMG, McKinsey &amp; Company, Protiviti, and Slalom;
---&gt;Nonprofit service providers, such as, Chicago CRED, United Way of Metropolitan Chicago, Rush University Medical Center, and Sinai Health System;
---&gt;Community-based organizations, such as Garfield Park Rite to Wellness Collaborative; and
---&gt;Chapin Hall, Chicago State University, City Colleges of Chicago, Greater Chicago Food Depository, Northwestern University, the University of Chicago, West Side United, and other higher education institutions and social-sector organizations.
In addition to facilitating collaboration between private, public, and social sector entities to support particular projects, Civic Consulting Alliance serves collaboratives and partnerships like the Bronzeville Legacy Collective, the Civic Committee’s Public Safety Task Force, the Cook County Pretrial Stakeholders Group, Garfield Park Rite to Wellness Collaborative, the Government Alliance for Safe Communities, the Partnership for Safe and Peaceful Communities (PSPC), and West Side United. Through these collaboratives, we facilitate cooperation and shared learning to help stakeholders collectively work towards their shared goals. Managing diverse stakeholders involves various challenges, including ensuring many voices are heard, building mutual trust across difference, and driving work forward while keeping all parties involved. Civic Consulting Alliance is uniquely positioned to address these challenges. We provide guidance that is strategic and objective, keeping collaboratives in sync, on track, and mission-focused due to our cross-sector partner network, longitudinal knowledge of public-sector issues in Chicago, and wealth of experience in project management. We expect that managing collaboratives will continue to be an area where we provide crucial services, as our society increasingly recognizes the value of this leadership model.</t>
  </si>
  <si>
    <t>Civic Consulting Alliance believes that the cornerstone of our ability to manifest our commitment to equity starts with building a diverse team and Board—one that reflects the residents of the Chicago region.
Since 2017, we have made strides to recruit and retain more diverse staff and Board members. In 2017, our Board’s Nominating and Governance Committee committed to recruiting more diverse Board candidates, considering professional background, ethnicity, age, and gender. That same year, we launched a staff Diversity, Equity, and Inclusion (DEI) Team, which has since advanced initiatives focused on staff recruiting, training, performance management, and client work. In 2020, we launched a Board DEI Committee to advise staff on DEI strategies, which first focused on initiatives to nurture a more inclusive staff culture (i.e., addressing staff mindsets and working norms). In 2021, we focused on embedding an equity lens in ‘how we work’ (i.e., how we select projects and how we serve our clients), incorporating a racial equity framework into our project selection and scoping processes.
Today, 26% of Civic Consulting Alliance Board members identify as people of color and 46% identify as women, compared to 13% and 28%, respectively, in 2017. Of our staff leadership, 30% identified as people of color and 70% identify as women. However, we have a long way to go to reflect the Chicago region’s racial and gender diversity. To further energize our progress, our Board’s Nominating and Governance Committee is close to alignment on a refreshed set of recruitment priorities. Moreover, our organization has embarked on a strategic planning process, which includes a workstream specific to refreshing our internal culture to build a more inclusive and equity-focused organization that attracts, supports, advances, and retains diverse talent.</t>
  </si>
  <si>
    <t>Civic Consulting Alliance leverages several key tools to drive our public and social sector clients’ impact to address the root causes of social issues:
---&gt;Systems-Level Approach: In order to make the Chicago region a great place for everyone to live in and work, we aim to make an impact at the systems-level. Our success is rooted in the trusted relationships that we build with the region’s government, social impact, and corporate leaders. Together, we serve as an invaluable component of the regions’ civic infrastructure. 
---&gt;Institutional Knowledge: As an organization, we share deep public and private sector relationships, as well as data, research, and analysis, to inform clients’ decisions. Many of our staff honed their skills at top social impact organizations and consulting firms before joining Civic Consulting Alliance, bringing deep institutional knowledge and project management capabilities that maximize the impact of our work. 
---&gt;Cross-Sector Collaboration: Our relationships in the public and private sector allow us to take a cohesive, integrated approach. We strategically align with government, business, and social impact sector clients. We have a history of opening doors to bring together those who seek to make catalytic changes rooted in equity.
---&gt;Project Management:  We amplify capacity and provide value as a neutral third party  that can provide value through our core consulting capabilities: organizational design, strategy development, implementation planning and management, and process design and improvement.</t>
  </si>
  <si>
    <t>Fundraising is the shared responsibility of Civic Consulting Alliance’s Board and staff. Since 2018, we built up a Communications and Development Team – now five members – with expertise and capacity to manage this work and engage Board members in it. Additionally, the Civic Committee and Commercial Club leadership are critical partners, as strategic thought partners, and as connectors to high priority donor prospects.
We focus our efforts on sustainable and scalable fundraising strategies across three streams:
---&gt;Foundation support made up about 40% of revenue in FY2024. The majority of our foundation partners are large local or national foundations based in Chicago. Most grants are general operating support for our mission as a whole or for a particular platform. We also seek opportunities to leverage the networks of our clients, engaging in collaborative fundraising to meet our shared vision for impact wherever possible.
---&gt;Corporate support made up about 10% of revenue in FY2024. Most gifts are secured via Board members’ employers. Our position in the corporate community is unique, and we aim to better leverage it by aligning our fundraising with Board recruitment, and engaging the Civic Committee and Commercial Club networks.
---&gt;Individual support made up about 20% of revenue in FY2024, roughly half of which came from Board members. We believe individuals are our best bet for sustainable revenue growth, and launched a Major Gifts Initiative in 2020 to galvanize high net worth civic leaders to join our community of donors – a community which has grown to complement our baseline of Board member donors.
(In addition, we receive about 30% of revenue from the Commercial Club Foundation. While Civic Consulting Alliance operates independently, we were founded by and are closely affiliated with the Civic Committee of the Commercial Club of Chicago, which provides these critical financial resources, advisory support as members of our Board, and back-office services to our organization.)
We are proud of our progress across our fundraising strategies – all part of Civic Consulting Alliance’s goal to recalibrate after years of more revenue volatility, in order to build a fiscally sustainable organization that can remain responsive to addressing our region’s most critical needs. The sustained, flexible support of loyal foundations, companies, and individuals is critical – as is success diversifying our investor community, including through the Major Gifts Initiative mentioned above and through new foundations like Knight Impact Partners. We greatly appreciate your engagement in our work and your interest in joining our community of philanthropic partners.</t>
  </si>
  <si>
    <t>1) Commercial Club Foundation, $1,470,000 (annual contribution)
2) John D. and Catherine T. MacArthur Foundation, $600,000 (2-year grant)
3) The Joyce Foundation, $500,000 (2-year grant)</t>
  </si>
  <si>
    <t>We prioritize projects that serve historically disinvested communities, yet our work benefits all Chicago and Cook County residents—as everyone benefits from a more equitable, safe, and thriving region.</t>
  </si>
  <si>
    <t>Asian
Black / African American
Latino/x/e / Hispanic
Indigenous / Native American / First Nations / Alaska Native
Native Hawaiian / Pacific Islander
Middle Eastern / North African
Multiracial / Mixed
White</t>
  </si>
  <si>
    <t>Man
Woman
Transgender
Non-binary
Genderqueer
Genderfluid
Agender
Two-Spirit</t>
  </si>
  <si>
    <t>https://www.jotform.com/uploads/Sol_Flores_sflores/242752736237461/6095745489835876157/Civic%20Consulting%20Alliance_FY2025%20Organizational%20Operating%20Budget.pdf
https://www.jotform.com/uploads/Sol_Flores_sflores/242752736237461/6095745489835876157/Civic%20Consulting%20Alliance_Key%20Project%20Staff%20Bios.pdf
https://www.jotform.com/uploads/Sol_Flores_sflores/242752736237461/6095745489835876157/Civic%20Consulting%20Alliance_Board%20List%20%281%29.pdf
https://www.jotform.com/uploads/Sol_Flores_sflores/242752736237461/6095745489835876157/Civic%20Consulting%20Alliance%20-%20IRS%20Affirmation%20Letter.pdf
https://www.jotform.com/uploads/Sol_Flores_sflores/242752736237461/6095745489835876157/Civic%20Consulting%20Alliance_FY2025%20Organizational%20Operating%20Budget_6685.pdf
https://www.jotform.com/uploads/Sol_Flores_sflores/242752736237461/6095745489835876157/Civic%20Consulting%20Alliance_FY23%20Form%20990.pdf
https://www.jotform.com/uploads/Sol_Flores_sflores/242752736237461/6095745489835876157/FY2025%20Economic%20Vitality%20Expense%20Budget.pdf</t>
  </si>
  <si>
    <t>https://www.jotform.com/uploads/Sol_Flores_sflores/242752736237461/6095745489835876157/Civic%20Consulting%20Alliance%20One-Pager.pdf</t>
  </si>
  <si>
    <t>Nov 27, 2024</t>
  </si>
  <si>
    <t>jmyers3@northshore.org</t>
  </si>
  <si>
    <t>Endeavor Health</t>
  </si>
  <si>
    <t>36-2167060</t>
  </si>
  <si>
    <t>1301 Central Street</t>
  </si>
  <si>
    <t>60201</t>
  </si>
  <si>
    <t>www.endeavorhealth.org</t>
  </si>
  <si>
    <t>Janet</t>
  </si>
  <si>
    <t>Myers</t>
  </si>
  <si>
    <t>Sr. Director, Principal Giving</t>
  </si>
  <si>
    <t>224-364-7617</t>
  </si>
  <si>
    <t>Sean</t>
  </si>
  <si>
    <t>O'Grady</t>
  </si>
  <si>
    <t>System President, Acute and Ambulatory Operations</t>
  </si>
  <si>
    <t>sogrady@northshore.org</t>
  </si>
  <si>
    <t>847-570-5155</t>
  </si>
  <si>
    <t>Evanston Hospital - 1891</t>
  </si>
  <si>
    <t>27,000</t>
  </si>
  <si>
    <t>not available</t>
  </si>
  <si>
    <t>The Endeavor Health Executive Leadership Team is comprised of 24 senior leaders, with 11 men and 13 women; 17 members are White, 3 members are Black, 3 members are Asian, and 1 member is Hispanic. On a broader scale, the 27,000 Endeavor Health team members are very diverse and representative of the diverse communities we serve across our footprint. 
The NorthShore Hospitals Board, which has oversight of Evanston, Glenbrook, Highland Park and Skokie Hospitals, is comprised of 16 members. The demographic breakdown is as follows: 5 women, 11 men; 14 members are White, 1 member is Black, and 1 member is Asian.
Like many institutions, over the past few years Endeavor Health has increased its focus and investment on Diversity, Equity and Inclusion infrastructure and programs. Lessons learned include: not all team members feel the same level of engagement, there are opportunities to reflect our communities diversity,
and data shows disparities in our patients' health outcomes. We have launched a DE&amp;I Action Group and a Health Equity Impact Team to lead the way in research, learning and driving action toward greater inclusion, opportunity and health equity. Recruitment of employees and leaders at ALL levels is being addressed through this work.</t>
  </si>
  <si>
    <t>Mission: Help everyone in our communities be their best.
Vision: Safe, seamless and person. Every person, every time.
Values: Our deep-rooted values guide our words and actions so you will see and feel how much we care about your wellbeing. 
-Act with Kindness
-Earn Trust
-Respect Everyone
-Build Relationships
-Pursue Excellence</t>
  </si>
  <si>
    <t>Memory Care Pilot</t>
  </si>
  <si>
    <t>$560,499 - Year One of Pilot and full testing support</t>
  </si>
  <si>
    <t>Our unique program model brings together physicians, Advanced Practice Providers, neuropsychologists and social workers in new, coordinated Memory Care Program.
-We will reduce wait time and improve access for patients.
-We will help the early identification of disease through testing support (new - 
 Washington University blood test.)
-We will provide caregiver support through linkages to resources via our CHW and social worker.
Our program development will be iterative, with learnings from our Phase One pilot informing future phases. Phase One will focus on the Evanston and North City areas, where is need and opportunity. Within the 18 zip codes that surround Evanston Hospital and Swedish Hospital and within a two-year period, there were 1,956 patients identified with a memory care issue. Only 574 patients, or 29.4%, went on to see an Endeavor Health Memory physician or APP. We seek to close that gap, focusing on BIPOC patients and patients with a Level 1 Median Family Income. 
Key metrics for Memory Care Pilot:
-New patient visits: 260-280 for underserved patients in Evanston and North City
-Established patient visits: 1,300-1,800 for underserved patients in Evanston and 
 North City
-Overall patient increase: 39% over current model
Data collection will be on-going, with formal evaluation at key points throughout the year. During this Phase 1 pilot, we will also assess the patient and caregiver needs for diagnostic testing, travel support, and respite care.  Data gathered during this period will help identify additional funds to help support this population.</t>
  </si>
  <si>
    <t>Sean O'Grady is President, Acute and Ambulatory Operations and a key administrative leader and partner in the development of our Memory Care Pilot. As President, Acute and Ambulatory Operations at Endeavor Health, Sean O’Grady oversees Endeavor Health’s nine award-winning hospitals and ambulatory operations across more than 300 sites, as well as Endeavor’s clinical service lines. He also leads the Endeavor Health Academic Affairs Office and Endeavor Health Research Institute, which is home to more than 550 active clinical trials. Each day, he is driven by the opportunity to make a difference for Endeavor Health team members and the patients we are privileged to serve.
To his role, Sean brings proven leadership, strategic and operational expertise, combined with a longstanding passion for service and belief in the power and potential of people working with a shared purpose. Prior to his current role, Sean served as President of the North Region and Institutes for Endeavor Health, which included Evanston Hospital, Glenbrook Hospital, Highland Park Hospital, Northwest Community Hospital, Skokie Hospital and Swedish Hospital.
Gabrielle Cummings is President of Evanston Hospital and the senior operations executive for Endeavor Health’s NorthShore Hospitals group that includes Evanston, Glenbrook, Highland Park and Skokie Hospitals and associated clinical service lines. She joined Endeavor Health as an Administrative Fellow in 2002. Prior to her appointment at Evanston Hospital, she served as President of Highland Park Hospital and in senior leadership roles at both Evanston and Glenbrook Hospitals. Throughout her more than 20 years with Endeavor Health, Gabrielle has demonstrated her passion and talent for building strong connections and fostering collaboration among teams to achieve great things together. To date, this has included supporting NorthShore’s Pathology and Laboratory team in developing the first COVID-19 test in Illinois, developing NorthShore’s Health Equity strategy and playing a key role in the launch of Endeavor Health’s Community Investment Fund.
Dr. Susan M. Rubin is the Chairman of Neurology, the Medical Director and Co-Director of the NorthShore Hospitals Neurological Institute. Dr. Rubin has oversight of the Memory Care Program. In addition to her leadership roles, Dr. Rubin is the Ruth Cain Ruggles Endowed Chair of Neurology. She received her medical degree from University of Illinois College of Medicine in 1988 and has been in practice for more than 30 years. Dr. Rubin completed her Residency and Fellowship in Neurology at Northwestern Feinberg School of Medicine. Dr. Rubin specializes in multiple sclerosis, women’s neurological issues and headaches. Dr. Rubin started as a neurologist at Endeavor Health in 2001 and has held various leadership positions. She has expanded programming, research and patient access for services including Alzheimer’s disease and memory disorders, epilepsy and headaches. Rubin also directs a department-wide project to predict, prevent and halt neurological disorders through the development of DNA-based tests and therapies. She has served on a hospital task force to help women advance in leadership roles. Dr. Rubin was recognized as a Crain's Notable Woman in Healthcare in 2019</t>
  </si>
  <si>
    <t>Endeavor Health’s mission is to help everyone in our communities be their best. Central to this mission is a commitment to providing clinical programs and services that meet community health needs while continuously improving to identify and understand future needs. Hospitals within the Endeavor Health system conduct Community Health Needs Assessments (CHNA’s) every three years, in accordance with the requirements of the Affordable Care Act (ACA) and the Internal Revenue Service (IRS). This comprehensive CHNA process uses primary and secondary data to identify, prioritize and address health issues within the service areas. The process ensures that community benefit programs and resources are focused on significant health needs as perceived by the community and aligned with Endeavor Health’s mission, services and strategic priorities. 
In 2021, Endeavor Health deepened its commitment to community through the Community Investment Fund, a vehicle to understand and invest in the broad needs of our community. The Community Investment Fund was shaped by an extensive community engagement process. Through our Community Investment Fund, Endeavor Health has awarded more than $21.4 million to 47 local partnerships dedicated to enhancing community health and wellbeing, advancing health equity and supporting local economic growth.
Specific to our new Memory Care Pilot, we will convene a new Patient and Family Advisory Group to provide feedback and help shape the program as we move forward.</t>
  </si>
  <si>
    <t>We have a robust partnership with the Alzheimer's Association. Our Memory Care staff complement includes a dedicated social worker to help connect patients and families to vital community resources, including the Knight Family Dementia Care Coordination Initiative. We will also assist families in accessing resources for respite care, support and education groups, and help remove financial obstacles to these essential services. We will build on partnerships with community-based organizations developed through the Community Investment to augment patient identification and also link patients and families to resources within the community.</t>
  </si>
  <si>
    <t>In 2020, Endeavor Health embarked on a journey of discovery to learn how we can do better for our patients, team members, and communities. Leaders across Endeavor Health collected feedback from our team members, forming a DEI Advisory Group that laid a strong foundation and passed the baton to our current DEI Team. Our strategy to advance DEI in workplaces and surrounding communities uses three pillars: 
-Engagement: Advancing team member inclusion and belonging
-Development: Fostering professional success and DEI education
-Community: Building trust and equity for our neighbors
Our DEI initiatives have included R.E.A.L. Talks (Race, Equity, Awareness, Listening) where participants shared more 1,550 insightful comments about inclusivity, building an inclusive workplace through affinity groups such as the Black Leadership Forum and TrueNorth (a space for LGBTQ+ team members), Leadership Academies, and our ASPIRE Workforce Development Programs in Evanston and Lake County, among other initiatives.</t>
  </si>
  <si>
    <t>As outlined, Endeavor Health launched the Community Investment Fund to address the complex social determinants of health that influence the wellbeing of our patients, their families, and the communities we serve. Addressing issues such as food insecurity, mental health support, and systemic barriers requires a holistic and data-driven approach to community health. 
The Community Investment Fund represents a cornerstone of Endeavor Health’s comprehensive, long-term strategy for advancing health equity. By aligning clinical care, advanced data analytics, and community expertise, the Fund fosters innovative collaborations to mitigate and ultimately eliminate health disparities. Through these partnerships, we aim to empower underserved communities, addressing systemic inequities to build stronger, healthier, and more resilient communities. This approach includes strategic initiatives such as hiring locally, sourcing locally, and targeted investments that promote health, wellbeing, and economic growth.
Our unique new Memory Care model leverages these strengths to expand access to care in underserved communities. The program will deploy Community Health Workers (CHWs) who engage through trusted relationships with local partners, identifying patients in need and connecting them to specialized memory care. This strategy builds on successful CHW models pioneered in our Breast Cancer and Hypertension Outreach Programs, which have demonstrated measurable impact in bridging care gaps. Additionally, our Social Worker will play a vital role in assessing social determinants of health and linking patients and families to essential resources within their communities. By addressing barriers such as financial constraints for diagnostic testing and other services, we aim to remove obstacles that often prevent timely care. Together, these efforts reflect our unwavering commitment to transforming community health through innovation, equity, and collaboration.</t>
  </si>
  <si>
    <t>Under the astute leadership of our CEO, President, and Chief Financial Officer, and in collaboration with our Board of Directors, Endeavor Health maintains a robust fiscal position. Operating margins and revenue growth are tracked carefully via System Scorecards that are reviewed with all institutional leaders. We strategically reinvest all operational revenues into the institution, enhancing patient care, pioneering research, and educational initiatives. Our substantial endowment empowers us to undertake transformative projects like the Community Investment Fund, reinforcing our commitment to community service and development. Endowment income is also reinvested back into the institution. Philanthropy remains a cornerstone, providing the critical margin for excellence and innovation, enabling us to advance care, foster discovery, and achieve breakthroughs that would otherwise be unattainable in today’s complex healthcare landscape, marked by rising costs and low reimbursement rates.
In our Memory Care division, we are investing in key staff, such as Advanced Practice Providers (APPs), to enhance capacity and alleviate physician workloads, thereby promoting financial sustainability. We anticipate that our new comprehensive care model will attract a broader patient base from the region, leading to increased patient volume and revenue. This approach aligns with the evolving healthcare paradigm, emphasizing value-based care and patient-centered outcomes. By integrating APPs into our care team, we aim to improve access, quality, and efficiency, which are essential for success in the current healthcare environment. Philanthropy will continue to be critical to Memory Care services. We see Knight Impact Partners' investment in our program as a strong signal of endorsement that will help attract other donor families. Long-term, we hope to endow strategic elements of our Memory Care program to provide a stable source of funding for key initiatives.</t>
  </si>
  <si>
    <t>Top Overall Gifts for FY 2024:
William Davis - $10M, over 5 years for Genomics
Jean Keitel Cryor Estate - $1,110,572 for Nursing Professional Development
Kathleen Cheadle - $1M for Unrestricted Support</t>
  </si>
  <si>
    <t>Top Overall Gifts for FY 2025:
Anonymous - $5M over five years - Integrated Pain Clinic
Healthcare Foundation of Highland Park - $800,000 - Unrestricted Support, with a focus on Highland Park Hospital
Anonymous - $500,000 for ASPIRE Lake County</t>
  </si>
  <si>
    <t>25%</t>
  </si>
  <si>
    <t>all ages</t>
  </si>
  <si>
    <t>Asian
Black / African American
Latino/x/e / Hispanic
Indigenous / Native American / First Nations / Alaska Native
Native Hawaiian / Pacific Islander
Middle Eastern / North African
Multiracial / Mixed
White
n/a</t>
  </si>
  <si>
    <t>Evanston Hospital: Charity Care - 2.98%, Medicaid - 15.15%; Swedish Hospital: Charity Care 2.4%, Medicaid - 35.49%</t>
  </si>
  <si>
    <t>https://www.jotform.com/uploads/Sol_Flores_sflores/242752736237461/6085416745036559141/NorthShore%20FY25%20Budget%20Draft%20as%20of%2010-14-24.pdf
https://www.jotform.com/uploads/Sol_Flores_sflores/242752736237461/6085416745036559141/Knight%20Memory%20Care%20presentation%2010.18.24.pdf
https://www.jotform.com/uploads/Sol_Flores_sflores/242752736237461/6085416745036559141/Endeavor%20Health%20-%20IRS%20Tax%20Exempt%20Federal%20Determination%20Letter%202024.pdf
https://www.jotform.com/uploads/Sol_Flores_sflores/242752736237461/6085416745036559141/NorthShore%20-%202022%20Form%20990-public%20disclosure.pdf
https://www.jotform.com/uploads/Sol_Flores_sflores/242752736237461/6085416745036559141/NS-EE%20FY2022%20Audited%20Financials.pdf
https://www.jotform.com/uploads/Sol_Flores_sflores/242752736237461/6085416745036559141/NorthShore%20Board%20of%20Directors%202024.pdf
https://www.jotform.com/uploads/Sol_Flores_sflores/242752736237461/6085416745036559141/Endeavor%20Health%20Corp%20Board%20-%20formally%20NS-EEH%20Corporate%20Board%202024.pdf
https://www.jotform.com/uploads/Sol_Flores_sflores/242752736237461/6085416745036559141/Endeavor%20Health%20-%20NorthShore%20Hospitals%202024%20Budget.pdf</t>
  </si>
  <si>
    <t>https://www.jotform.com/uploads/Sol_Flores_sflores/242752736237461/6085416745036559141/EH_StrategicPlan.pdf</t>
  </si>
  <si>
    <t>mlopez1053@ccc.edu</t>
  </si>
  <si>
    <t>City Colleges of Chicago Foundation</t>
  </si>
  <si>
    <t>36-3157624</t>
  </si>
  <si>
    <t>180 N Wabash</t>
  </si>
  <si>
    <t>Ste 200</t>
  </si>
  <si>
    <t>www.ccc.edu/foundation</t>
  </si>
  <si>
    <t>Maria Esther</t>
  </si>
  <si>
    <t>Lopez</t>
  </si>
  <si>
    <t>312-553-2541</t>
  </si>
  <si>
    <t>Veronica</t>
  </si>
  <si>
    <t>Herrero</t>
  </si>
  <si>
    <t>President</t>
  </si>
  <si>
    <t>vherrero@ccc.edu</t>
  </si>
  <si>
    <t>312-553-2677</t>
  </si>
  <si>
    <t>1971</t>
  </si>
  <si>
    <t>Please see attachement.</t>
  </si>
  <si>
    <t>City Colleges of Chicago Foundation (CCCF) is a 501c3 organization that partners with the philanthropic community in supporting the whole student through scholarships, wrap-around services, and innovative programming that empowers socioeconomic upward mobility of City Colleges of Chicago (CCC) students from all backgrounds. CCC is recognized as the city’s most accessible higher education engine of socioeconomic mobility and racial equity, empowering all Chicagoans to take part in building a stronger, more just city.  It plays a crucial role in providing affordable education and workforce development opportunities to residents of Chicago and surrounding communities. CCCF is governed by its own board of directors, and chartered to provide financially for the educational needs of the City Colleges of Chicago that cannot be met through state aid or student tuition income.</t>
  </si>
  <si>
    <t>CCC Thrive Strategy</t>
  </si>
  <si>
    <t>Sixty-nine percent (69%) of CCC student respondents report facing at least one form of insecurity, significantly higher than other two-year colleges' survey results. Fifty percent (50%) reported food insecurity. Fifty nine percent (59%) reported housing insecurity. Sixteen percent (16%) reported experiencing homelessness. Thirty two percent (32%) of students do not use a personal computer to do their coursework. Eighteen percent (18%) of students say they missed assignments due to internet/technology. Twelve percent (12%) do not utilize home internet access.
City College of Chicago students experience challenges that their more affluent peers may never experience and puts them at risk of dropping classes or stopping out altogether, preventing persistence and success. Addressing our students' basic needs insecurity is an imperative. If we help students thrive personally, they can thrive academically, preparing for upwardly mobile careers and family-sustaining wages, and becoming basic-needs-secure for life! 
Nationwide, studies have shown that addressing students' BNI leads to stronger academic outcomes. Historically CCC and its partners have invested in supporting students' basic needs including wide-ranging strategies such as mental health supports via campus Wellness Centers and evening/weekend telehealth, food pantries at all seven colleges, limited housing options, discounted CTA Ventra cards, free laptops and Wi-Fi, and limited access to emergency financial assistance. Still, significant gaps exist in CCC's ability to meet students' basic needs, and philanthropic support is needed to help students achieve their goals and to help CCC to achieve its vision as an engine of racial equity and socioeconomic mobility across communities. 
City Colleges requests a total of $505,000 over 3-years as an investment in CCC’s Thrive Strategy: Infrastructure Program, a component of a comprehensive strategy to strengthen and augment the continuum of Basic Needs Supports to address Food Insecurity, Housing Insecurity, Emergency Financial Assistance and Public Benefits Connection as well and preparing the foundation for a more scalable, sustainable BNI support infrastructure at CCC.  A crucial first step toward addressing BNI at CCC is to build the human capital and technological supports required for CCC to have the capacity to move forward its suite of interventions and initiatives to all seven colleges including its five satellites.
Human Capital - CCC will hire a District Director of Basic Needs, a role that will report to the Executive Director of Student Wellness and will be charged to expand CCC’s BNI response framework, implement programming across the district while collecting data to inform interventions, learning, building scalable operations, and continuous improvement. 
Technology: Basic Needs Distribution Software - CCC will purchase-update technology and software systems, to facilitate effectively process internal emergency fund applications data collection and including initial start-up implementation costs and annual technology vendor fees. 
Of the total funds, $125,000 will provide support during the remainder of the current fiscal year (FY25) and $190,000 for FY26 and FY2. In terms of sustainability, we anticipate that as student retention increases over next 3 years, tuition revenue will fund additional infrastructure costs into perpetuity.</t>
  </si>
  <si>
    <t>505,000</t>
  </si>
  <si>
    <t>Data collection and analysis is a large component of our Thrive Strategy. CCC aims to pilot several programs and interventions addressing student BNI and will scale up the projects that prove successful. While much of our success and impact will be measured in other components of the Thrive Strategy, the infrastructure program is a crucial first step in implementing our BNI approach. 
The infrastructure program year one success will be measured by:
	successfully hiring and onboarding the new District Director of Basic Needs
	Successfully completing the procurement process, implementing our new technology and training staff on how to use it.
Long term, having infrastructure in place will result in:
- Increase in retention and completion at campuses participating in Thrive Strategy pilot programs.
-A decrease in reported BNI among students who participated in BNI pilot programs.</t>
  </si>
  <si>
    <t>CCC’s Thrive Strategy will run through City Colleges of Chicago’s Office of Student Experience (OSX), Department of Retention and Completion. This department focuses on student supports and encompasses our campus Wellness Centers, Veteran Centers, Academic Advising, and Student Activities offices. OSX more broadly also focuses on the entire continuum of student access and success including enrollment, financial aid, transfer centers, and career development centers. CCC believes that when students complete their degrees or programs alongside our integrated transfer and career services, they will have the skills and support to obtain jobs that will result in long-term financial security. Therefore, our goal is to help students get their basic needs met while they are students with us, knowing that once they complete our program, they will have the tools and skills needed to maintain their economic stability and mobility. For this reason, the Department of Retention and Completion is the ideal department to focus on the Thrive Strategy, and it will encompass both student supports and a focus on student completion. 
The primary staff who will be involved with this project are:
•	Dr. Aarti Dhupelia, Chief Student Experience Officer – Dr. Dhupelia leads this department and will have ultimate responsibility for the vision and success of the Thrive Strategy. 
•	Jacquelyn Werner, Vice Chancellor of Retention and Completion – VC Werner leads programs focused on retention and student supports and will support the implementation, program evaluation, and reporting of the Thrive Strategy. 
•	Anne Althoff, Executive Director of Student Wellness – ED Althoff oversees the mental health and basic needs programming for CCC and will be responsible for the roll out, implementation, and day to day functioning of the Thrive Strategy.</t>
  </si>
  <si>
    <t>City Colleges implements a range of strategies to foster meaningful community engagement utilizing a strength-based approach to collaboration. These include active communication, incorporating community feedback into programming, aligning with community needs and workforce demands, promoting inclusivity and representation, ensuring transparent evaluation and improvement, and offering educational and cultural enrichment opportunities.
Student Experience - City Colleges is dedicated to removing barriers to access by offering support for low-income, first-generation, and non-traditional students through mentorship, scholarships, and flexible programming options including via the Star Scholarship, Fresh Start and CCC Foundation scholarship. Courses and events reflect the community’s cultural diversity, ensuring that all students feel represented and valued not only during affinity months but throughout the year. Furthermore, the Chancellor hosts check-ins each semester, including one in Spanish, where he meets with up to twenty-five students each semester. He also meets with the Student Government Association once a year. Any student challenges raised at these meetings are addressed by the appropriate teams as part of the CCC’s continuous improvement efforts. 
Community Engagement - Each City College actively partners with local organizations, schools, and businesses to foster feedback and collaboration. Leadership at both the district and college levels is accessible to community members, providing opportunities for direct communication. Each college also hosts a series of community advisory committees, composed of community members and students, which offer ongoing feedback and recommendations on curriculum, services, and support programming. Colleges initiate pilot programs based on community input, adjusting, and expanding successful initiatives to meet broader community needs.
Business &amp; Government Collaboration - City Colleges collaborates with area employers to co-design courses, units, and programs that address specific technical skills, industry certifications, and software commonly used in various fields. Through partnerships with businesses and government entities, the college offers job placement programs, internships, and networking events that benefit both students and the local economy. Academic and vocational programs continuously evolve to meet community needs, such as training in emerging technologies, support for small businesses, and programs tailored for adult learners. Programs aligned with the workforce needs of local industries are emphasized, including certificates, degrees, and apprenticeships that prepare students with in-demand skills.
Education and Academe – City Colleges of Chicago partners with Chicago Public Schools though the Chicago Roadmap and Early College for dual enrollment and pathways programs to provide students with access to choices and opportunities. More than twenty-eight four-year institutions have partnered with CCC to provide students seeking to continue their education towards a bachelor degree. Partnerships also include scholarships and/or articulation agreements to provide career pathways with minimum to no credit loss. 
Commitment to Continuous Improvement - City Colleges is committed to accountability and continuous improvement at all levels. The college tracks and shares data on program effectiveness with the community. Feedback from both internal and external sources is used to refine programs and processes, with open communication about changes made in response to community input. This dedication to improvement ensures that City Colleges remains responsive and adaptive to the needs of its community.</t>
  </si>
  <si>
    <t>City Colleges collaborates with several community partners who are working with us to address Basic Needs Insecurity, with whom the District Director for Basic Needs will interact:
	Greater Chicago Food Depository – on-campus pantries and food insecurity pilot programs
	Illinois Hunger Coalition – on-campus SNAP benefits enrollment events
	DePaul USA – Housing and wrap-around services for homeless students
	ChiCollab – a steering committee focused on housing needs in the City of Chicago
	All Chicago and ECMC – existing partners offering emergency financial assistance for students.
These partnerships help us better understand the needs of our students and the community, provide resources that we cannot otherwise offer to our students, and help us measure the success of our programs and interventions.</t>
  </si>
  <si>
    <t>In a community college system where 75% of our students are Black or Latine, equity and inclusion is one of City Colleges of Chicago greatest strengths. City Colleges of Chicago has an ambitious outcome measure that will see 55 percent of Black and Latinx students earn a degree or certificate, or transfer to a four-year university within four years of enrollment by 2032. This goal will be achieved as we support students through scholarships, experiential learning and critical student wrap-around supports. When our students thrive, our city thrives.
Since January 2022, the City Colleges of Chicago (CCC) has been actively working on the execution of its equity plans to address issues of diversity, equity, and inclusion. These equity plans encompass various initiatives and strategies aimed at promoting equal opportunities for all students, faculty, and staff regardless of their background, race, ethnicity, gender, or socioeconomic status. Illinois Equity in Attainment (ILEA), and the signature initiative of the Partnership for College Completion (PCC), worked with our college teams as a catalyst, coach, and connector for this work.
In terms of leadership, we know firsthand that boards that reflect the student population are better equipped to identify gaps in services and address them in culturally appropriate, innovative ways, fostering inclusivity and equity in programming. As such, the composition of both the CCC Board of Trustees, and CCC Foundation Board of Directors reflect CCC’s student population. Members from both boards come with a diverse range of economic, educational, professional and life lived experiences. The CCC Board of Trustees is composed of 86% members from the Black and Latine Community and 100% of the CCC Foundation board is from the Black and Latine community. Also to note is that 86% of the college presidents are Black and Latine.</t>
  </si>
  <si>
    <t>Our Thrive Strategy focuses not just on addressing basic needs insecurity, but also in addressing the root causes of these issues. For example, CCC supports and advocates for policy changes and legislation that addresses issues related to equity, accessing resources, and mental health support. 
City Colleges also engages with community partners and city and state government groups to collaboratively address issues such as food insecurity and homelessness. By participating in these groups, we can impact systemic change and support a community larger than our student body. 
Additionally, we believe that educational success will lead to financial security and employment success for our students. By helping our students learn, we provide them with the key to long-term success that will impact future generations.</t>
  </si>
  <si>
    <t>CCC’s Thrive Strategy: Infrastructure Program human capital and technological investments to this project will be financially self-sustaining over time as supporting students’ basic needs at CCC, which will increase student retention rates, will lead to increased tuition revenue and, over time, will cover the recurring costs of the staff and technology added through this project. 
City Colleges’ management is responsible for establishing and maintaining an internal control structure designed to protect its assets, to prevent loss from theft or misuse of assets, and to allow for the preparation of financial information in conformity with U.S. GAAP under GASB. City Colleges’ budgetary control objectives are to ensure compliance with legal provisions embodied in the annual appropriated budget approved by City Colleges’ Board of Trustees. Budgetary control is implemented by individual fund within each college. Board approval is required for all transfers between funds, accounts, or programs. Board approval is required for all purchases or exchanges of goods and services over $25,000 from a single vendor during the fiscal year. In addition, proper segregation of duties exists both operationally and technologically to ensure that purchase orders are properly authorized with appropriate checks and balances. In accordance with standards established by GASB, City Colleges has included City Colleges of Chicago Foundation as a discretely presented component unit. 
City Colleges of Chicago’s prioritization of financial health since 2017 has led to strong cash reserves and the elimination of a legacy structural deficit achieving positive unrestricted net assets so much so that its Fitch rating was upgraded to A+ with a positive outlook. Furthermore, CCC more than tripled public and private grants/donations from $19M in FY2018 to $63M in FY2023. City College’s revenue sources include student tuition and fees, state apportionment and equalization, local federal and local grants and contracts, local property tazes, interest income, capital appropriation and grants. City Colleges FY2025 budget is balanced. The unrestricted and enterprise operating budget of $367.3 million represents a 4.8 percent increase from the prior fiscal year. The budget projects a three percent year to year enrollment increase (FY2024 to FY2025).</t>
  </si>
  <si>
    <t>BNI Knight Impact Partners will be the first seed funder for this project. 
CCC Foundations top FY25 donors include the following:
•	Goldman Sachs	$292,028.26 
•	Children First Fund	$287,403.57 
•	Anonymous 2		$250,000.00 
•	American Association of Community Colleges	$165,000.00 
•	Sprague Foundation	$125,263.00 
•	Johnson Controls	$100,000.00</t>
  </si>
  <si>
    <t>Thanks to the leadership of Knight Impact Partners in hosting the BNI Funder's Briefing, CCCF has initiated discussions with several funders who have expressed interest in aspects of the BNI comprehensive strategy. We look forward to identifying anticipated funding sources as these conversations progress.</t>
  </si>
  <si>
    <t>20 - 39 years old</t>
  </si>
  <si>
    <t>20-39 year olds</t>
  </si>
  <si>
    <t>Man
Woman
Transgender
Non-binary
Genderqueer
Genderfluid
Agender
Two-Spirit
Prefer not to say</t>
  </si>
  <si>
    <t>Of CCC credit students in FY24, 50% were eligible for Pell Grants, albeit this is a gross underestimation of students who can be considered “low income” as students may not be Pell eligible if they could not or did not submit a FAFSA or are ineligible for financial aid due to prior unsatisfactory academic progress or citizenship status.</t>
  </si>
  <si>
    <t>https://www.jotform.com/uploads/Sol_Flores_sflores/242752736237461/6069343978214682219/FY2025%20Final%20Budget%20Book.pdf
https://www.jotform.com/uploads/Sol_Flores_sflores/242752736237461/6069343978214682219/Thrive%20BNI%20Infrastructure%20Budget%2011-8-2024.pdf
https://www.jotform.com/uploads/Sol_Flores_sflores/242752736237461/6069343978214682219/CCCF%20Board%20Member%20Demographics%2011-2024.pdf
https://www.jotform.com/uploads/Sol_Flores_sflores/242752736237461/6069343978214682219/2024%20CCCF%20Board%20List%20as%20of%206-24-2024%20Affiliations%20n%20Diversity.pdf
https://www.jotform.com/uploads/Sol_Flores_sflores/242752736237461/6069343978214682219/FY2023%20CCC%20and%20CCC%20Foundation%20Financial%20Report%20%28Audited%29.pdf
https://www.jotform.com/uploads/Sol_Flores_sflores/242752736237461/6069343978214682219/FY2023%20Tax%20Year-2022-CCC%20Foundation%20Form-990.pdf
https://www.jotform.com/uploads/Sol_Flores_sflores/242752736237461/6069343978214682219/IRS.501C3%20form.pdf
https://www.jotform.com/uploads/Sol_Flores_sflores/242752736237461/6069343978214682219/Thrive%20BNI%20Staff%20Biographies%2011-2024.pdf</t>
  </si>
  <si>
    <t>https://www.jotform.com/uploads/Sol_Flores_sflores/242752736237461/6069343978214682219/City%20Colleges%20of%20Chicago%20Strategic%20Framework%202021-2025.pdf</t>
  </si>
  <si>
    <t>Nov 7, 2024</t>
  </si>
  <si>
    <t>elarson@connect2home.org</t>
  </si>
  <si>
    <t>Connections for the Homeless</t>
  </si>
  <si>
    <t>363346917</t>
  </si>
  <si>
    <t>2121 Dewey Ave</t>
  </si>
  <si>
    <t>https://www.connect2home.org</t>
  </si>
  <si>
    <t>Elena</t>
  </si>
  <si>
    <t>Larson</t>
  </si>
  <si>
    <t>Associate Director of Development - Institutional Giving</t>
  </si>
  <si>
    <t>8474757070 x120</t>
  </si>
  <si>
    <t>Nia</t>
  </si>
  <si>
    <t>Tavoularis</t>
  </si>
  <si>
    <t>niat@connect2home.org</t>
  </si>
  <si>
    <t>8474757070 x129</t>
  </si>
  <si>
    <t>1984</t>
  </si>
  <si>
    <t>83</t>
  </si>
  <si>
    <t>1200</t>
  </si>
  <si>
    <t>Board:
AAPI: 0; Black: 5; Multiracial: 0; Hispanic/Latine: 1; AIAN: 0; White; 12; Other: 0; Decline to state: 3
Staff:
AAPI: 0; Black: 39; Multiracial: 0; Hispanic/Latine: 22; AIAN: 0; White; 25; Other: 4; Decline to state: 0</t>
  </si>
  <si>
    <t>We serve and catalyze the community to end homelessness, one person at a time.</t>
  </si>
  <si>
    <t>With a mission to serve and catalyze our community to end homelessness, one person at a time, we are leading our region's efforts to attain functional zero status by making homelessness rare, brief and non-recurring. Headquartered in Evanston, we meet the needs of those living across Chicago’s northern suburbs through a two-fold approach: first, we provide housing, shelter, homelessness prevention, and supportive services. We also address the systemic and structural causes of homelessness and racial inequality through the advocacy coalition that we formed and lead, Joining Forces for Affordable Housing. Our advocacy efforts started locally in Evanston, but have now expanded throughout Chicago’s northern suburbs into Lake County.
Since the start of the COVID-19 pandemic, we have doubled the number of people served across our programs to nearly 5,000 across 52 Chicagoland communities. With the partnership of Knight Impact Partners and other supporters, we seek to sustain and grow our services to meet the growing demand for services and affordable housing advocacy in our community.</t>
  </si>
  <si>
    <t>We are committed to delivering services that help people stabilize, strengthen and secure their future and end their housing instability.
To achieve this goal, we collect quantitative and qualitative data about all our programs and services to assess our work and make improvements. This includes regularly soliciting and collecting feedback from the people we serve. This feedback and the program data we collect is reviewed monthly by our cross-departmental Continuous Quality Improvement (CQI) committee. Additionally, we are in the process of launching a study looking at participant outcomes in partnership with a Northwestern University researcher to better understand the impact of our programs and services.
For each person we serve, we seek to:
- Strengthen their housing stability
- Improve their well-being and confidence
- Increase their income
- Foster connections to the community, neighbors, and peers
- Support children on their path to academic achievement
Across programs, we aim to achieve the following outcomes in the coming year:
HOMELESSNESS PREVENTION
Outcome: Keep at least 300 families from entering homelessness by quickly rehousing families and preventing evictions and foreclosures.
Indicator: Number who received homelessness prevention support who maintained their home three months later.
Target: 98% of people served through eviction and foreclosure prevention efforts will maintain housing 3 months later.
SHELTER
Outcome: Transition at least 75% of participants (out of approximately 70 individuals exiting the shelter in a given year) moving from homelessness to a housing solution during the year via our Margarita Inn Shelter program.
Indicator: Number participants who exit the shelter and remain stably housed post 90 days.
Target: Of those who exit the shelter program, 75% will exit to any housing solution, and 60% will exit to a permanent housing solution.
HOUSING
Outcome: Of the approximately 300 people in our Housing Program, 85% will maintain or move into a stable home of their own via our Permanent Supportive Housing (PSH) program or another housing solution.
Indicator: Number of participants maintaining stable housing or exiting to stable housing.
Target: 85% of people in our housing programs will stay housed or exit to a permanent home.
We utilize the Homeless Management Information System (HMIS) to collect and track most data. This is a coordinated system we share access to alongside our peer homeless providers in the area. Our data team pull reports and analyze progress utilizing HMIS. Outside of HMIS, we have some limited data we collect in internal databases and systems that are used specifically for certain programs and to track certain outcomes (for example our medical services are monitored within a donated Electronic Health Record).</t>
  </si>
  <si>
    <t>BETTY A. BOGG, Chief Executive Officer, is a strategic thinker, compassionate leader, and tireless advocate for marginalized populations, especially those living in poverty and experiencing homelessness. Since coming to Connections for the Homeless in 2015 as the Executive Director, she:
- Oversaw the financial turnaround in the midst of the State of Illinois budget crisis
- Implemented infrastructure improvements in accounting, human resources, and IT
- Built the leadership team to support infrastructure, program development and expansion
- Expanded eviction prevention efforts 400%, quadrupled shelter capacity, and doubled housing programs
- Tripled staff, oversaw revenue growth of 400%, diversified funding sources, doubled the private donor base, and increased private giving by 160%
- Forged strong partnerships with multiple stakeholders, positioning the agency to lead efforts to end homelessness in North Suburban Cook County
Prior to Connections, Betty held several management and leadership positions at Teen Living Programs (now Ignite), having joined the organization in 2001. Before that, Betty was Director of Accounting and Information Systems at Deborah's Place, joining in 1993.
STEPH DUNCAN, MHRMD, Chief Human Resources Officer, is committed to being a trusted servant leader and bridge builder. Steph is committed to the implementation and sustainability of equitable work environments that allow staff to show up as their authentic selves and do their best work. Steph facilitates a team approach to achieve organizational objectives, promote accountability, and enhance employee morale. She is highly focused on professional development, coaching and supporting employees through their individual professional journeys. Steph has a proven track record in the design of mission-driven change initiatives that produce results. She previously held positions at Easterseals and One Hope United.
NIA TAVOULARIS is a dedicated fundraiser with twenty years of experience, currently serving as Chief Development Officer at Connections for the Homeless in Evanston. Prior to that she served as Philanthropy Director for WBEZ91.5 Chicago Public Media (formerly Chicago Public Radio) and Director of Development at Teen Living Programs. She is recognized as an energetic and passionate leader who builds deep and authentic relationships with donors, colleagues, program participants and fans of public radio. 
TINA WHITE, LCSW, is the Chief Program Officer and provides the strategic vision and management of all aspects of Connections’ community programs. Since Tina began in her role in 2020, Connections eviction prevention efforts have expanded 400%, our shelter capacity has quadrupled, and our Health &amp; Wellness Services has doubled. She has more than 20 of experience working with people who are homeless, serving at-risk populations, and supervising staff. Tina is a Licensed Clinical Social Worker, and previously served as the Senior Director of Clinical Operations at Heartland Alliance Health.</t>
  </si>
  <si>
    <t>We consistently seek to center those in our community who are most impacted by our community’s legacy of institutional racism in both our direct service and our advocacy work. First and foremost, we do this by ensuring that our staff and board members are representative of the community we serve and give those people a voice in our agency’s programs and policies. 
We have multiple paths of community engagement from participants focused on giving feedback and making our programs better. First, we have current participants serving on our Board’s Program Committee and have had this opportunity in place for several years. We also have individuals with lived experience of homelessness (including current and former Connections participants) who serve on our Board of Directors.
Second, we are in the process of establishing a Client Advisory Board that will provide participants with an additional formal feedback mechanism, beyond program satisfaction surveys.  We also engage the wider community in our program design and services through the establishment of the Good Neighbor Advisory Council which meets quarterly to respond to community concerns surrounding the operation of the Margarita Inn.
Last, we utilize the work of our Advocacy Program to education and mobilize the community around affordable housing issues. For example, our Equitable Zoning Project sought to assess the ways in which Evanston’s zoning perpetuates inequities and impact people who are BIPOC and people with low, no, or fixed incomes. We were among the first groups across the nation to embark on a review of municipal zoning codes with a focus on advancing equity. We intentionally focused on community input from those most affected by lack of affordable housing, including people with low incomes, people of color, and people with disabilities.</t>
  </si>
  <si>
    <t>We have developed and maintained deep partnerships in our community with local governments, other nonprofits and community service providers, and philanthropic partners. We leverage the expertise and resources of our partners to reach our collective goals of a thriving, equitable community. Some examples of the broad partnerships we foster include:
ADVOCACY. As mentioned previously, we are in the third and final phase of the Equitable Zoning Project, which just produced a report for distribution to the community. The project began third-party diagnostic review of Evanston’s zoning code completed by ZoneCo LLC. Next, we collected community input to evaluate conclusions from Phase One review. We intentionally focused on gathering feedback from those most affected by lack of affordable housing, including people with low incomes, people of color, and people with disabilities. To reach the communities and voices of those most marginalized and most likely to be affected by zoning, we partnered with many local organizations, including Center for Independent Futures, Evanston Cradle to Career’s Advocates for Action, Evanston NAACP, and Evanston Latinos. 
MEDICAL RESPITE. The most significant change to our agency’s programs in the past two years is the expansion of our Health and Wellness Services Program to include a Medical Respite Pilot Program. Once launched, it will provide individuals experiencing homelessness who are being discharged from a hospital with a safe place to rest and recover while working towards a housing solution. As newcomers to this space, we relied heavily on outside expertise to shape our program. First, we received a pre-planning grant from the Illinois Public Health Institute (IPHI), which provided technical assistance during the planning phase. Since then, we received a two-year grant from Endeavor Health (formerly NorthShore University HealthSystem), which has become a reliable partner as we seek to improve the outcomes of our participants and the intersection of housing and health. We have made tremendous progress in creating the structure and framework for a full program. We are also engaging other local health partners like Erie Family Health Center and managed care organizations like Blue Cross Blue Shield of Illinois to build support and sustain our program.
YOUTH PROGRAMS. During our previous fiscal year, we served 694 children across all our programs, and an additional 92 transition-age youth ages 18-24 in our Youth Programs. While we are experts at navigating adult-serving programs for those experiencing homelessness, we rely on the deep partnerships we’ve built with school districts, service providers, and youth-focused community partners to ensure the children in the households across our shelter, housing, and prevention programs and our transition age youth program participants have the services and stability the need to thrive. We are an active member of the Evanston Collective, a youth-focused collective of community organizations dedicated to providing Evanston youth with access to resources and a responsive safety net. Other members of the Collective include the City of Evanston’s Youth and Young Adult Division, Curt’s Café, Erie Family Health Centers, Infant Welfare Society of Evanston, James B. Moran Center for Youth Advocacy, PEER Services, Youth Job Center, and Youth &amp; Opportunity United (Y.O.U.). Together, these partners help identify youth and families experiencing homelessness and housing instability, and once families are enrolled in our programs, we continue to collaborate with Collective members to ensure that children stayed enrolled in school; youth are able to receive legal assistance; parents can find childcare while securing employment; and families receive counseling and support and healing from the destabilizing experiencing of housing instability.</t>
  </si>
  <si>
    <t>Operating as an anti-racist agency is our stated approach to our work and written into our strategic plan, and we strive to embody that both internally and externally. In our work, we are  explicitly committed to dismantling the racist structures leading to the housing and wealth disparities that result in the overrepresentation of BIPOC community members experiencing homelessness and housing instability. Within our agency, we take an active, hands-on approach to ensuring our policies, practices, and culture reflect our anti-racist and DEI values. 
Prior to the pandemic, we began auditing our policies through a racial equity lens, and this work has continued with the consulting support of Dr. Gilo Logan. Dr. Logan began facilitating peace circles for our staff of color in the wake of the murder of George Floyd. Dr. Logan’s was critical to supporting our staff of color and was very well-received across the agency. Next, we engaged Dr. Logan to do a deep dive assessment of the agency, interviewing all the staff. In a manifestation of our commitment to transparency, Dr. Logan walked through the report in an all-staff meeting, even though it was clear that we had much more work to do to truly embody our commitment to racial equity. 
Moving forward, our HR committee is committed to making sure our HR strategic goals around racial equity are implemented. Alongside our internal policy work, we have an agency-wide equity task force that has been meeting monthly for over a year and is in the process of producing a report on what our next steps should be to address equity in the agency. 
Externally, we embody our anti-racist and DEI values in our work with participants by providing trauma-informed services grounded in cultural humility. We actively recruit and support a diverse staff that includes individuals with lived experience of housing instability and homelessness to ensure that we are representative of the community that we serve. We also mobilize the community to address the structural factors leading to disparate outcomes at a local and state policy level through our advocacy work.</t>
  </si>
  <si>
    <t>Homelessness is a racial equity issue. Housing instability and lack of affordable housing affects the entire community, but it most acutely impacts our BIPOC neighbors. Connections for the Homeless is an explicitly anti-racist organization committed to dismantling the structures and systems leading to the housing and wealth disparities that result in the overrepresentation of BIPOC community members experiencing homelessness and housing instability while continuing to provide innovative, responsive programs that meet the growing demand for services in our region.
As a direct service provider for the past 40 years, Connections has become an expert in the barriers households face in trying to secure and maintain stable, affordable housing. While every individual and family has their own story, it’s clear that the structures, systems, and institutions that create and perpetuate housing policy are the biggest contributing factors to homelessness in the community. These policy-level issues require policy-level responses and inspired us to launch our Advocacy Program back in 2017. This action itself is innovative: there are no other providers in our region that both provide direct service and engage in community- and state-level advocacy efforts.
Responding to the urgent need for more affordable housing in the community AND addressing the systematic barriers that contribute to the current crisis requires an approach rooted in community advocacy, education, and coalition-building. Connections has proven an effective leader in rallying the community around finding solutions and effecting real change. Since the inception of the Advocacy Program, we have become leaders in community organizing, bringing together diverse stakeholders and constituents for the common purpose of collective impact.
Our efforts have already made an impact: in April, our Advocacy Team led a group of staff, participants, and community members to Springfield to advocate for affordable housing legislation. We are also taking an active role in addressing the growing need for affordable housing in Evanston and across Chicago’s northern suburbs, working closely with the city on Envision Evanston 2024. Alongside community partners, we identified where Evanston’s zoning perpetuates inequalities, racial and ethnic wealth gaps, and segregation—one of the first equity-focused studies in the county. Our Equitable Zoning Project just released its final report in October 2024 and is now available as a model for other communities.</t>
  </si>
  <si>
    <t>Since the beginning of the COVID-19 pandemic, our agency has grown from a $4m agency to a $15m agency due to an influx of federal and state relief funding, increased fundraising, and the growing demand for services in our community. 
We have sustained  this growth through several key initiatives: first, we launched our first-ever Community Campaign: The Power of Us and last month we closed on our $25m goal, about evenly split between public and private contributions. This campaign has allowed us to invest in the Programs, People, and Places to support our mission and end homelessness in our community.
Second, we have already started putting the goals of our capital campaign into action: to better support our agency’s growth, our leadership team was restructured into a chief system in 2023. Chief positions lead all functions of the agency including programs, government relations and advocacy, operations including finance and technology, human resources, and fundraising. Breaking out government relations in particular has given us expanded capacity to pursue public funding opportunities, which now make up about 70% of agency’s funding, up from 50% pre-pandemic.
Third, pertaining to our private fundraising capacity, we have drastically expanded our fundraising team, led by our Chief Development Officer, by hiring two major gift officers, a Director of Communications, and several positions to better engage our community and volunteers. These efforts have resulted in an overall increase in the number of major donors in our portfolio, an overall increase in the average gift amount of appeal donations, a significant increase in our private institutional giving portfolio, and our first ever seven-figure campaign pledge.
Taken together, these investments have created a stable financial platform from which we can sustain our programs and continue to grow into the agency our community needs us to be.</t>
  </si>
  <si>
    <t>Schreiber Philanthropy $400,000
Endeavor Health $200,000
Chicago Community Trust $80,000</t>
  </si>
  <si>
    <t>Kim Perutz $150,000
The Jerome Mirza Foundation $125,000
Art Duquette $100,000</t>
  </si>
  <si>
    <t>N/A-we serve individuals and households experiencing homelessness and housing instability, including children, adults, and seniors</t>
  </si>
  <si>
    <t>https://www.jotform.com/uploads/Sol_Flores_sflores/242752736237461/6068166567917753354/FY23%20Form%20990%20Public%20Inspection%20Copy.pdf
https://www.jotform.com/uploads/Sol_Flores_sflores/242752736237461/6068166567917753354/Connections%20FY25%20Operating%20Budget.pdf
https://www.jotform.com/uploads/Sol_Flores_sflores/242752736237461/6068166567917753354/FY23%20Audit%20-%20Connections%20for%20the%20Homeless.pdf
https://www.jotform.com/uploads/Sol_Flores_sflores/242752736237461/6068166567917753354/FY25%20Board%20and%20Committee%20Roster.pdf
https://www.jotform.com/uploads/Sol_Flores_sflores/242752736237461/6068166567917753354/CFTH%20-%20IRS%20Determination%20Letter.pdf
https://www.jotform.com/uploads/Sol_Flores_sflores/242752736237461/6068166567917753354/Senior%20Staff%20Bios%20November%202024.pdf</t>
  </si>
  <si>
    <t>https://www.jotform.com/uploads/Sol_Flores_sflores/242752736237461/6068166567917753354/EZP_Recommendations.pdf
https://www.jotform.com/uploads/Sol_Flores_sflores/242752736237461/6068166567917753354/Equitable%20Zoning%20Report.pdf
https://www.jotform.com/uploads/Sol_Flores_sflores/242752736237461/6068166567917753354/Fall%202024%20Stewardship_Knight.pdf</t>
  </si>
  <si>
    <t>Oct 29, 2024</t>
  </si>
  <si>
    <t>sana.syed@imancentral.org</t>
  </si>
  <si>
    <t>Inner-City Muslim Action Network</t>
  </si>
  <si>
    <t>36-4167433</t>
  </si>
  <si>
    <t>2745 W. 63rd St</t>
  </si>
  <si>
    <t>60629</t>
  </si>
  <si>
    <t>imancentral.org</t>
  </si>
  <si>
    <t>Alia</t>
  </si>
  <si>
    <t>Bilal</t>
  </si>
  <si>
    <t>Chief Executive Director</t>
  </si>
  <si>
    <t>alia@imancentral.org</t>
  </si>
  <si>
    <t>773.434.4626</t>
  </si>
  <si>
    <t>Sana</t>
  </si>
  <si>
    <t>Syed</t>
  </si>
  <si>
    <t>Chief Growth &amp; Strategy Director</t>
  </si>
  <si>
    <t>1997</t>
  </si>
  <si>
    <t>103</t>
  </si>
  <si>
    <t>91% of IMAN’s staff members identify as BIPOC, while 43% identify as men and 57% identify as women. All members (100%) of IMAN’s Board of Directors represent diverse social and economic backgrounds and identify as Black, Indigenous, and People of Color (BIPOC). We currently do not ask our board to disclose gender identities. 
Latinx or Hispanic
14
Black or African-American
65
Asian
11
Indigenous or Native American
0
Middle Eastern
0
Native Hawaiian or Other Pacific Islander
0
Multiracial
8
White
10
Non-disclosed
0</t>
  </si>
  <si>
    <t>Established in 1997, the Inner-City Muslim Action Network (IMAN) is a community organization that fosters health, wellness and healing in the inner-city by organizing for social change, cultivating the arts, and operating a holistic health center. IMAN’s work is a direct response to the prevalence of violence, poverty, social inequity, and health disparities within Chicago's South Side neighborhoods, specifically the Chicago Lawn, West Englewood, and Englewood communities.</t>
  </si>
  <si>
    <t>Health Center</t>
  </si>
  <si>
    <t>IMAN currently operates a Federally Qualified Health Center at the intersection of 63rd Street and California in Chicago Lawn. We provide holistic care services for both adults and children including, but not limited to, physical exams, cancer screenings, vaccinations, diabetes care, blood pressure management, women’s health services, and more. Our Behavioral Health Clinic provides individual, group, family and couples therapy, case management services, and substance abuse counseling. These services, combined, demonstrate our collaborative, team-based care approach. To increase our capacity, we have developed the Health Center Expansion project.
When complete, the expanded health center will be a three-story, 23,400 square foot building, intended to serve as a catalytic symbol of new development and investment along the 63rd St. corridor, in the eastern part of Chicago Lawn bordering Englewood. Expanding upon the newly renovated existing structure, this project will allow IMAN to significantly increase the Health Center’s capacity, better equip its staff to execute a holistic approach to healthcare, and place all its operations under one roof to ensure efficiency and collaboration.
The new health center will allow IMAN to offer fully integrated primary care and behavioral health as well as robust wraparound services. Currently, IMAN’s medical exam rooms and behavioral health rooms are located across the street from one another, with staff for both clinics scattered around the IMAN campus. This expansion will allow for greater synergy between the medical and behavioral health teams, which leads to greater cohesion between these different modalities of care for the benefit of IMAN’s patients. The new facility will also include a critical community gathering space for local organizations and members of the broader community. 
IMAN’s Federally Qualified Health Center is located in the South Side of Chicago. Our Health Center brings crucial affordable healthcare to medically-underserved neighborhoods of Chicago, containing approximately 1,058,365 service area residents, 50% of whom are living at or 200% below the Federal Poverty Level. Individuals in this service area, despite having significant socioeconomic needs and health disparities, have historically been left behind by healthcare initiatives. IMAN seeks to address this gap by providing substantial healthcare support and equity. 
This service area has been designated as a Health Provider Shortage Area, Medically Underserved Area, and food desert. Residents experience significant health challenges related to chronic diseases and other health conditions, barriers accessing care, and disproportionate levels of community violence. Individuals from environments where trauma is common, like foster care, poverty, community violence and incarceration, require multifaceted wraparound services for true healing to take place, and those needs directly inform IMAN’s holistic approach to patient care. By developing programs that address all aspects of wellness—access to healthcare, behavioral health services, creative outlets, and spiritual spaces—we bring wellness and healing to our communities.</t>
  </si>
  <si>
    <t>1,000,000 per year for 3 years</t>
  </si>
  <si>
    <t>IMAN’s Capacity-Building Initiative serves as the foundational framework to complete the Health Center Expansion project. This foundation will be built on two focus areas:
Leadership staffing
IMAN will develop our Health Center’s administrative/leadership infrastructure and expand our team capacity to prepare for the undertaking of our Health Center Expansion project. This will include the hiring of a Chief Health Center Director and additional Development staff. The Chief Health Center Director is responsible for the strategic direction, management and coordination of all health center operations and related activities for the purpose of attaining the goals and objectives as set forth by the Executive Director/Board of Directors. By establishing a Chief Health Center Director, IMAN will have the necessary leadership to undertake the extensive expansion project.
Capacity-building also includes a number of initiatives for current and future staff members. Our current leadership team will undergo professional development, and engage in planning meetings and strategy development to actualize our visions into tangible, ready-to-go plans. 
Key milestones include: 
Job Posting
Hiring
Training &amp; Onboarding
Progress is tracked through gathering applications, conducting interviews, hiring qualified personnel, and completing our training and onboarding process.
Go-To-Market Strategy Development
To prepare for our Health Center Expansion project, IMAN is developing a GTM strategy to better understand our current positioning as a healthcare provider and how to best serve our community to improve patient outcomes, develop health and wellness, and effectively address this 30-year life expectancy gap. Based on our market research, we found that FQHCs in the South Chicago Area prioritized 3 areas of future development for 2023-2025 based on their own needs assessments: Chronic Illnesses, Enablement &amp; Access, and Mental Health. Similar clinics in size (&lt;15k patients) are focusing on Dental Care and Enabling services, while IMAN has a clear focus on behavioral health, addressing the prioritized development.
Our GTM development plan milestones include:
Inter-departmental Alignment:
Ensure that all deadlines are met, communication is thorough, precise, and timely, and that responsibilities and expectations are clear.
Establish and operate a referral system for our holistic programming
Revenue &amp; Sustainability Planning
Key leadership and staff will regularly review and develop strategies to increase patient revenue and cultivate fundraising
Needs Fulfillment Framework
Conduct needs assessment, surveys, and program reviews to understand the needs of our community
Develop a framework to address the needs through expanded services, targeted Health Center hours, and Mobile Care efforts
These strategies combined will ensure that the needs of our community are met, while also working toward a sustainable and equitable future of our programming. Progress will be tracked through the development of policies, procedures, and formalized strategic plans and goals.</t>
  </si>
  <si>
    <t>IMAN employs a dynamic and diverse set of qualified individuals from various backgrounds, all of whom are directly affected by or deeply invested in the organization’s mission. We have cultivated a team of experienced and dedicated leadership who serve as the pioneers for our Health Center Expansion project.
Sana Syed, Chief Growth &amp; Strategy Director, serves as the lead for the innovation and advancement of IMAN’s Health and Wellness Corridor project and the Health Center Expansion project. She has extensive experience in strategic planning and direction, including years of work at IMAN and previous experience with Chicago Theological Seminary and the Oasis Initiative. Through her role at IMAN, she has coordinated diverse stakeholders, ensured team alignment through critical decisions, and provided invaluable insight to the strategic direction of IMAN. 
Dr. Brittani James, MD, leads as the Medical Director of our Health Center. Dr. James is an established medical practitioner, as well as an antiracist educator and activist. In addition to her extensive experience working as a physician, she is the co-founder of the Institute for Antiracism in Medicine and the Coalition to Advance Antiracism in Medicine, and was also a founding member of the Vaccine Justice League. Her responsibilities include the oversight and management of the Health Center, the development and administration of our medical services, and provides crucial insight on the progress of our expanded healthcare services. As the director, she is key to the implementation of our Health Center Expansion project.
Natali Rehman, LMFT, has led as our Behavioral Health Director since 2016, and has recently stepped into a Chief Director of Programming role. She has extensive experience working as a family therapist and as a programming facilitator under IMAN. As the Behavioral Health Director, she was responsible for implementing and administering a comprehensive behavioral health program, developing service program protocols, policies, and procedures, and providing project leadership, management, and supervision to ensure direct, comprehensive, integrated, and coordinated services. As the Chief Director of Programming, she is responsible for the management and facilitation of interdepartmental communication, the interconnectedness of our wrap-around services, and the development of our holistic programming.
Remul Johnson, IMAN’s Manager of Real Estate and Construction, will oversee and facilitate the Health Center Expansion project. Remul is a key member of the IMAN team, responsible for overseeing three main areas: Construction, Property Acquisition, and Property Management. She has over a decade of experience working in architecture as a construction and project manager, interior designer, and brand strategist, bringing invaluable expertise to IMAN’s plans for development and investment.
Our team makes our work possible. Not only do our team members have extensive professional experience, but each one is also deeply committed to IMAN’s mission. To achieve our goal of closing this 30-year life expectancy gap in our surrounding communities, improve patient health outcomes, and facilitate holistic healing and wellness, our team utilizes their expertise to not only visualize plans, but actualize them.</t>
  </si>
  <si>
    <t>All of our programming is heavily supported by our Community Engagement &amp; Safety department. Led by formerly incarcerated returning residents, our CES leaders serve as IMAN’s main points of contact for the most vulnerable members of our community. This is an intentional choice. We recognize that individuals who have experience navigating the cycles of violence and incarceration are best positioned to intervene, talk to, connect with, and inspire those individuals who find themselves in similar situations. 
With this in mind, CES is often our bridge to engage with our community as a whole. We have developed a strategy for CES to collect and communicate feedback from individuals who engage in our programming and services, while also using this opportunity to inform the community on our plans for future programs. Some other strategies include conducting assessments via surveys, outreach, phone calls, virtual gatherings, social media, in-person events, etc. This feedback is crucial to the growth and development of our programs. By understanding our community’s needs, we can develop our programs and services to directly serve those needs.</t>
  </si>
  <si>
    <t>IMAN has been an integral partner in the community, and our work has the support of organizations such as Southwest Organizing Project (SWOP), St. Rita’s Catholic Church, the Greater Southwest Development Corporation (GSDC), Holy Cross Hospital, and many others. Broad community support has resulted in the support of our elected officials, including Alderman Stephanie Coleman. Our healthcare initiatives work closely with key partners such as Chicago Department of Public Health (CDPH), Northwestern Hospital, Vaccines for Children, and many others. These partnerships are crucial to our vision to achieve meaningful, long-lasting change. 
IMAN utilizes community outreach efforts to raise awareness about our Health Clinic and available services. Collaborative partnerships with local religious institutions, schools, community centers, and social service organizations, as well as our in-house team of Community Health Workers, are, and will continue to be, leveraged to ensure the effective dissemination of information and to encourage healthcare-seeking behaviors among the target population.</t>
  </si>
  <si>
    <t>We are an organization that emerged from the recognition of the direct necessity of creating a racially just society, and from our founding have had these issues at the forefront of our mission and our structure. IMAN hires individuals who are either reflective of the community or have a deep understanding of the various complexities our community members face, and this has always been reflected in our staff and our board. All 22 of our Board members identify as BIPOC, and the majority of our staff are BIPOC. Individuals from the various constituencies IMAN serves (including African-Americans, Latinos, Arabs, returning residents, etc.) hold crucial positions within the organization, and this representation is a vital component of IMAN’s ethos which strengthens our organization and allows us to serve the broader community in an effective way. Because this has been a core aspect of IMAN’s identity since our inception, we have not needed specific policies related to the advancement of racial equity or justice within our organization.</t>
  </si>
  <si>
    <t>IMAN has utilized an innovative approach to health and wellness in the inner-city, developing what we refer to as our holistic model, an integrative approach that utilizes holistic (ie. interconnected, interwoven) multi-faceted departments to address a spectrum of structural and systemic injustices impeding a dignified quality of life for people in marginalized communities. In addition to our health and wellness initiatives, IMAN provides innovative wrap-around programming, including:
Strategic Initiatives: Strategic Initiatives takes projects through the innovation, incubation and institutionalization pipeline. The department spearheads Go Green on Racine, a holistic vision for neighborhood revitalization in the heart of Englewood, encompassing food access through the Go Green Community Fresh Market, housing, health care and jobs at the Regenerator, transit advocacy to reopen the CTA Racine Green Line Station, and arts and culture centered in the Go Green Griot Plaza. 
Green ReEntry (GRE): GRE is a job training and leadership development program that provides transitional housing, life skills education, and sustainable construction training for formerly incarcerated/returning residents who are at highest risk of becoming either victims or perpetrators of violence. 
Arts &amp; Culture: Our Arts &amp; Culture department supports the creation, collaboration and presentation of community-engaged art that unites disconnected communities, facilitates transformative healing, and fosters the ability to radically reimagine the world. Our Beloved Community Ceramics Studio, the first of its kind in Chicago’s South Side, offers a combination of free and affordable classes and workshops, utilizing a distinct curriculum that intersects aspects of ceramics, community organizing principles, and behavioral health techniques.
Organizing &amp; Advocacy: Communities are powerful tools to catalyze systemic change. Through our organizing and advocacy efforts, we are able to partner with local organizations, encourage policy and legislative change, and organize stronger food ecosystems, all through the mobilization and collaborative efforts of our local communities.</t>
  </si>
  <si>
    <t>IMAN’s Executive Office, Financial Department, and Development Department work closely together to ensure the long-term sustainability of our organization. We maintain financial stability through a diverse mix of funding sources, including grants, donations, program revenues, and resources from its Federally Qualified Health Center (FQHC). This diversified approach reduces reliance on any single funding stream. The organization employs a structured cash flow framework—categorized into green, yellow, and red stages—to guide spending and financial decisions based on liquidity. IMAN prioritizes essential and grant-related expenses while carefully managing cash flow to ensure operational sustainability. By increasing patient volume and expanding federal grants through the HRSA portfolio, IMAN enhances its financial foundation. Strong fiscal policies and regular financial reporting ensure compliance and accountability, supporting IMAN's long-term financial health.
The Health Center Expansion is anticipated to increase revenues by nine times. Financial proformas estimate patient revenues of $6M in the first year of operations, growing to $11M by year 3. To sustain operations and projects long-term, IMAN plans to diversify funding sources by seeking new grants, enhancing individual donor contributions, and increasing program revenues through community engagement, including services offered by its Federally Qualified Health Center (FQHC). Strengthening partnerships with foundations, government agencies, and healthcare organizations will be essential for consistent funding. The organization will prioritize robust financial management practices, including regular budget assessments and cash flow monitoring, while investing in staff development to enhance operational efficiency. Regular program evaluations will ensure alignment with strategic goals and adaptability to changing community needs, supporting sustainable growth and mission fulfillment.</t>
  </si>
  <si>
    <t>HRSA- $1,834,900
City of Chicago- $1,198,499
Blue Cross Blue Shield- $750,000</t>
  </si>
  <si>
    <t>City Colleges of Chicago- $353,742
Northwestern Memorial- $250,000
Crown Family- $250,000</t>
  </si>
  <si>
    <t>We have no primary target age group as our services and programs are designed for a number of different age groups.</t>
  </si>
  <si>
    <t>Black / African American
Latino/x/e / Hispanic
Middle Eastern / North African
Multiracial / Mixed</t>
  </si>
  <si>
    <t>we do not collect this data</t>
  </si>
  <si>
    <t>https://www.jotform.com/uploads/Sol_Flores_sflores/242752736237461/6060450993529904162/2024%20Budget-%20Development%20Copy%20-%20Consolidated%20Budget%20Board%20Approved%20Budget-2.pdf
https://www.jotform.com/uploads/Sol_Flores_sflores/242752736237461/6060450993529904162/EIN-IMAN.pdf
https://www.jotform.com/uploads/Sol_Flores_sflores/242752736237461/6060450993529904162/IMAN_2024BoardList.pdf
https://www.jotform.com/uploads/Sol_Flores_sflores/242752736237461/6060450993529904162/IMAN%20Audit%20Report%202023.pdf
https://www.jotform.com/uploads/Sol_Flores_sflores/242752736237461/6060450993529904162/IMAN%20Audit%20Report%202023_8637.pdf
https://www.jotform.com/uploads/Sol_Flores_sflores/242752736237461/6060450993529904162/Bios.docx</t>
  </si>
  <si>
    <t>https://www.jotform.com/uploads/Sol_Flores_sflores/242752736237461/6060450993529904162/IMAN%202023%20Simplified%20Annual%20Report-compressed.pdf</t>
  </si>
  <si>
    <t>Chicago Lawn, bordering Englewood</t>
  </si>
  <si>
    <t>Chicago Lawn</t>
  </si>
  <si>
    <t>Oct 26, 2024</t>
  </si>
  <si>
    <t>mhatch@maafachicago.org</t>
  </si>
  <si>
    <t>MAAFA Redemption Project</t>
  </si>
  <si>
    <t>83-3525168</t>
  </si>
  <si>
    <t>22 N. Kildare Ave</t>
  </si>
  <si>
    <t>Suite 101</t>
  </si>
  <si>
    <t>maafachicago.org</t>
  </si>
  <si>
    <t>Marshall</t>
  </si>
  <si>
    <t>Hatch</t>
  </si>
  <si>
    <t>7734186178</t>
  </si>
  <si>
    <t>Jonathan</t>
  </si>
  <si>
    <t>Seals</t>
  </si>
  <si>
    <t>Executive Assistant</t>
  </si>
  <si>
    <t>jseals@maafachicago.org</t>
  </si>
  <si>
    <t>7732875051</t>
  </si>
  <si>
    <t>2 of 7 Board members are African American women, and 5 of 7 are African American men. 1 of 7 Board members is a veteran.</t>
  </si>
  <si>
    <t>Vision
We believe in the promise, genius, and ability of Chicago’s Black and Brown youth &amp; young adults, and we exist to help them lead us to better days.  
Mission
As a ministry of New Mount Pilgrim Missionary Baptist Church, we exist to educate and empower our youth and young adults, providing a safe and healing environment and engaging them in a Sankofa movement to restore our entire community.</t>
  </si>
  <si>
    <t>Jan 1, 2024</t>
  </si>
  <si>
    <t>Dec 31, 2024</t>
  </si>
  <si>
    <t>MAAFA Arts Center</t>
  </si>
  <si>
    <t>The MAAFA Center for Arts &amp; Activism (The “MAC”), will continue to be the heart and headquarters of the MAAFA Redemption Project, a faith-based residential institute for Black and Brown young men and women. The MAC has created a safe and secure space in West Garfield Park, allowing for individual and communal healing and empowerment. After the renovation, the building will also meet the identified need for community-based arts, education, organizing and neighborhood activation. Its inter-generational arts-programming will nurture and amplify the artistic genius of neighborhood residents, cultivating a sense of communal pride, efficacy and renewal.</t>
  </si>
  <si>
    <t>$500,000</t>
  </si>
  <si>
    <t>Given the MAC's dual role as the headquarters of the MAAFA Redemption Project as well as the hub for community-based arts education, the following addresses the impact metrics for each respectively: 
MAAFA Redemption Project: 
MAAFA utilizes Salesforce and an internal CRM to track the following metrics: attendance rate, retention rate, recidivism rate, Personal Life Plan Completion rate, graduation rate, high school graduation rate, number of case management sessions, number of conflict mediations, number of mental health hours provided, number of life coaching sessions, rate of employment-opportunity attainment, number of On-the-job training hours, number of financial empowerment sessions, number of family wellness session hours, number of service-learning hours. 
These metrics allow MAAFA to measure the growth and development of participants as they matriculate through programming and pursue post graduation education, training, and employment opportunities.
Arts Programming: 
In 2023, MAAFA launched the “The Sankofa School of the Arts” (SSA), an arts institute for youth and young adults from the Westside of Chicago. SSA will serve as the primary arts program that is housed at the MAC. SSA provides young people a broad education in the arts that reaches the whole student, motivates the student, gives them access to resources to achieve their goals and gifts, and live extraordinary lives. MAAFA believes that this will be achieved through three areas of programming: Dance, Musical Theatre and Visual Arts. In 2023 SSA served 92 youth ages 4-18. 
Along with the number of participants served, as well as attendance data, SSA also measures Personal Growth Index (PGI). PGI measures improvements in students' self-esteem, creative thinking, and social skills over the course of the program. Evaluations are conducted at the beginning, middle, and end of the program using a combination of self-reports, teacher assessments, and observational metrics.
The following are results from SSA's pilot:
* Self-Esteem: 85% of participants reported a significant increase in confidence.
* Creative Thinking: There was a 78% improvement in creativity scores, measured through problem-solving tasks and artistic expression.
* Social Skills: 92% of students showed enhanced social interactions and teamwork capabilities.
Overall PGI Score
* The combined Personal Growth Index score for the program was 85%, indicating substantial overall development in the participants.
Lastly, SSA tracks the arts education impact of participants:
* Areas of Programming:
    * Dance Arts: Focus on creative thinking and motor skills through various dance forms.
    * Musical Theatre Arts: Enhances memory and emotional expression through performance.
    * Visual Arts: Develops spatial acuity and visual creativity.
    * Digital Arts: Engages students in multimedia art forms, fostering both technical and creative skills.
Pilot Achievements
* Students' participated in two major arts showcases.
* They developed new skills across various art forms.
* They also enhanced their understanding of cultural and artistic expressions.
Community and Parental Feedback / Testimonials from SSA's pilot:
Parent: "Our child's confidence has soared since joining the Summer Arts Institute. Seeing them on stage, expressing themselves without fear, has been a heartwarming experience for our whole family." – Michelle L., Parent
Student: "The dance and music classes aren’t just fun; they make me feel like I can do anything. I've found my voice here, and I've made friends who love the arts just as much as I do." – Jayden S., Student</t>
  </si>
  <si>
    <t>Marshall Hatch Jr. is the founding Executive Director of the MAAFA
Redemption Project, a Chicago-based workforce, social &amp; spiritual-development
initiative for Black and Brown men ages 18-30. Hatch Jr. hails from the Westside of
Chicago. He graduated from Lincoln Park high school in 2006, and was awarded the Gates Millennium scholarship the same year.
He attended Bates College located in Lewiston, Maine, graduating in 2010 with a
Bachelor’s degree in Political Science and Religion. After working for Bates as an
Admission Counselor, Marshall moved back to Chicago, joining Urban Prep Charter Academy for Young Men as the Director of College Counseling and teacher of African American History. He served in these capacities for three years while mentoring hundreds of African American young men on the South and Westside.
His passion for education, social justice, and spirituality grew substantially from
these experiences, leading him to pursue dual Master's degrees in Divinity and Social Service Administration at the University of Chicago in 2014. Upon graduation, Marshall joined his father, Pastor Marshall Hatch Sr., in full-time ministry at New Mount Pilgrim Baptist Church, the largest congregation in Chicago’s West Garfield Park neighborhood.
In 2017, Marshall and his father founded the MAAFA Redemption Project as a
ministry of the church. The Project recruits and invests in emerging adult Black and Brown men with housing, job skills development, educational opportunities, and wrap-around social services. The Project supplements these supports with
programming that focuses on the arts, cultural-identity development, spiritual
enrichment, transformative travel, civic empowerment, and insistent Life
Coaching/Mentoring.</t>
  </si>
  <si>
    <t>MAAFA's approach to community engagement and organizing is grassroots and organic. First, through quarterly assessments and bi-yearly retreats, MAAFA ensures that the diverse input and feedback of its participants and staff inform its organizational culture and programmatic work. MAAFA also sponsors a free food distribution initiative deemed "Fish and Loaves." Through Fish and Loaves, MAAFA alumni engage in service-learning opportunities and tackle the neighborhood's food insecurity crisis. MAAFA also sponsors the West Garfield Park Legacy Families Committee. The "Legacy Families" are generational residents who have witnessed both growth and decline in their neighborhood. They have seen the impact of decisions made without community input, leading to displacement and poverty. Concerned about history repeating itself with the Sankofa Wellness Village, they seek to ensure their voices are heard and to involve the greater community in decision-making. Thus, they embarked on a journey of organizing for a better future. The Legacy Families’ mission is to increase the length and quality of lives in West Garfield Park by providing hope, prioritizing safety, and preventing displacement while adding valuable resources to our community. The Legacy Family is dedicated to safeguarding existing houses, supporting families, and preserving the fabric of our community. We are committed to preventing gentrification and ensuring that the neighborhood remains accessible and affordable to all.</t>
  </si>
  <si>
    <t>In 2022, MAAFA piloted its sister program, the Beautiful Seed Foundation (BSF). BSF exists to help young women of color between the ages of 12-25 recognize their greatness, utilize their gifts, and impact the world positively through mentoring, global leadership opportunities, college access and readiness, and community service through a faith-based, social justice and empowerment lens. So far twenty-one youth and young adult women have received services by BSF. 
Also, the MAC is a recipient of the Pritzker-Traubert Foundation’s “Chicago Prize”. MAAFA is proud to have helped create a table of organizations called the Garfield Park Rite to Wellness Collaborative, an organization of more than twelve organizations dedicated to revitalizing East and West Garfield Park. Partners include Westside United, YMCA, Erie Hospital, The Community Builders, Breakthrough Ministries, New Mount Pilgrim M.B. Church, and Rush University Medical Center. The collaborative will bring a wellness center and federally qualified health center to West Garfield Park where MAAFA men and residents will be able to access health services including a credit union, a hub of health services, and a social innovation space to cultivate small businesses. The hope is that the wellness center will function as a catalyst for the redevelopment of the Madison commercial corridor and West Garfield Park writ large.</t>
  </si>
  <si>
    <t>MAAFA is committed to diversity, equity and inclusion in every aspect of its operations. Through our strong partnerships and collaborations in West Garfield and throughout Chicago, we are able to draw on the diverse experiences of residents, other community-based organizations, and our work with youth and young adults to broaden our perspective and approach.
As a self-identified ministry, MAAFA's expressed core values include radical love, justice, empathy and community; its leadership has been intentional and vigilant about instilling these values in its organizational structure and culture. Being sensitive to the realities of race, gender, sexual orientation, and difference in life stages guides MAAFA's overall goal of creating a culture of mutual aid, support, generosity and community.</t>
  </si>
  <si>
    <t>MAAFA’s innovative residential programming centers around three pillars: dormitory-style residential support, workforce training, and character/spiritual-development. 
Based in West Garfield Park, a neighborhood with one of the lowest life expectancies in Chicago, MAAFA’s mission is to significantly improve the quality of life for youth and young adults of color and their families. With its unique direct-service and community-building approach, MAAFA aims to drive the community’s redevelopment plan. To accomplish this mission MAAFA implements a multi-pronged approach: gun violence prevention/mediation, leadership development, and community outreach. 
MAAFA’s approach is built on the understanding that basic human needs must be met to create an environment where transformation can begin to happen. MAAFA's  most housing insecure participants live together in safe, stable, dormitory-style home for 9 months. At the "MAAFA House" they work with life coaches and support each other to build a sense of community, belonging and shared responsibility. Recognizing the importance of education and the critical thinking skills it instills in students, MAAFA provides learning opportunities, allowing participants to successfully complete their GED and, for those seeking more, an Associate's degree. They also learn soft and technical job skills through rigorous training in the construction trades, landscaping, as well as their leadership roles in the residence. MAAFA also provides participants with a stipend that mirrors real-world employment and incentivizes their engagement for the duration of the program.
MAAFA’s commitment to workforce development is reflected across the span of programming, acknowledging that simply placing the young people in jobs is likely doomed to fail and will not ultimately improve their financial, personal or family circumstances.  Instead, at every step of the process – from initial recruitment, to selection, and then to the launch of programming, the start of residential living, and finally to the job skills-development -- MAAFA is committed to building the necessary soft and hard skills needed to survive in an economy that is often inaccessible if not outright inhospitable to young people of color.  MAAFA also partners with a number of employer partners to provide initial internship opportunities that allow them to begin building out their soft and hard skills, and then full-time placement after completion of the program. 
Building on its residential model, MAAFA provides a unique blend of services and supports that includes:
Mental Health &amp; Community Mediation:  MAAFA participants receive cognitive-behavioral therapy, and one-on-one life coaching. 
Educational enrichment:  MAAFA recognizes the potential of participants to become community leaders and invests in them by creating a pathway to knowledge acquisition. 
Personal wellness and development:  Each MAAFA participant is matched with a spiritual-life coach to support them in the development and implementation of both their personal life and career plan. The participants engage in spiritual meditation each morning and actively participate in counseling around drug abuse, mental health, and family development. 
Civic engagement:  Helping participants become active in the civic life of the community is central to MAAFA’s approach. Participants engage in volunteer community service activities in West Garfield Park, discuss their experiences in group meetings with local law enforcement and community leaders, and go on participatory group visits to observe civic processes at the city, state, and national levels. Recent trips have included visits to observe the Chicago City Council in session, as well as several long-distance trips, including:  Washington, D.C. to visit the Museum of African-American History and Howard University; Atlanta to lay witness to Ebenezer Baptist Church and the Martin Luther King, Jr. National Historic Park;  Memphis to visit the National Civil Rights Museum; and, most recently to Montgomery, Alabama to the Equal Justice Initiative "Legacy Museum."</t>
  </si>
  <si>
    <t>MAAFA is now in its 7th year of operations. To-date, MAAFA has been blessed by its partnership with Chicago CRED which has served as one of its primary donors since the program launched.  Chicago CRED, is, in turn affiliated with the Emerson Collective, led by Laurene Powell Jobs, which has provided additional access to resources and in-kind support.  Having a primary funder with deep donor relationships and resources is both a blessing and a challenge. MAAFA recognizes this challenge and has started to diversity its donor base to ensure long-term sustainability. MAAFA currently has 10 big donor partnerships: Chicago CRED, A Better Chicago, McCormick Foundation, The We Raise Foundation, MIGMIR Foundation, The Blackhawks Foundation, Chicago Bulls Charities, The Pritzker Pucker Foundation, Alta Futures, and the Christopher Foundation. MAAFA also receives funding from the American Rescue Plan Act (ARPA) via Cook County (these funds are set to expire August 2025). 
MAAFA's current focus is on four primary areas:  direct funding, in-kind support through institutional partners, community collaborations and through the engagement of volunteers. 
As a 501 (c) 3 organization under the Internal Revenue Code, MAAFA is incorporated in the state of Illinois, and has its own organizational by-laws and a board of directors. Additionally, MAAFA has recently made two critical hires: the Director of Finance and Director of Data Infrastructure. These hires assist the executive director in the aforementioned priorities. MAAFA also intends to hire a Director of Development by February 2025.</t>
  </si>
  <si>
    <t>Chicago CRED - $500,000 (annual general operating)
We Raise Foundation - $400,000 (over 3 years)
A Better Chicago / McCormick - $150,000 (annual general operating)</t>
  </si>
  <si>
    <t>Christopher Foundation - $75,000
Boeing - $50,000
Pritzker Pucker Foundation - $50,000</t>
  </si>
  <si>
    <t>18-35</t>
  </si>
  <si>
    <t>https://www.jotform.com/uploads/Sol_Flores_sflores/242752736237461/6057844484734707646/Marshall%20Hatch%20Jr%20Bio%202024.docx.pdf%20new.pdf
https://www.jotform.com/uploads/Sol_Flores_sflores/242752736237461/6057844484734707646/Oct%2024%20MAAFA%20Board%20_%20Advisory%202024.docx
https://www.jotform.com/uploads/Sol_Flores_sflores/242752736237461/6057844484734707646/2023_federal_990_maafa_redemption_project_tax_return%20%282%29%20%281%29.pdf
https://www.jotform.com/uploads/Sol_Flores_sflores/242752736237461/6057844484734707646/Determination%20IRS%20FinalLetter_83-3525168_MAAFAREDEMPTIONPROJECT_04292019_01.tif%20%282%29.pdf
https://www.jotform.com/uploads/Sol_Flores_sflores/242752736237461/6057844484734707646/MAAFA%20Redemtion%20Project%202024%20Budget_07292024%20%281%29.xlsx</t>
  </si>
  <si>
    <t>https://www.jotform.com/uploads/Sol_Flores_sflores/242752736237461/6057844484734707646/Oct%2026%20MAAFA%20Impact%20Report%202023-24%20%28Social%20Media%29.pdf</t>
  </si>
  <si>
    <t>West Garfield Park</t>
  </si>
  <si>
    <t>Oct 21, 2024</t>
  </si>
  <si>
    <t>impact@onemilliondegrees.org</t>
  </si>
  <si>
    <t>One Million Degrees</t>
  </si>
  <si>
    <t>42-1710230</t>
  </si>
  <si>
    <t>Ste 415</t>
  </si>
  <si>
    <t>onemilliondegrees.org</t>
  </si>
  <si>
    <t>Nuttall</t>
  </si>
  <si>
    <t>Manager, Institutional Support</t>
  </si>
  <si>
    <t>enuttall@onemilliondegrees.org</t>
  </si>
  <si>
    <t>2544231596</t>
  </si>
  <si>
    <t>Aneesh</t>
  </si>
  <si>
    <t>Sohoni</t>
  </si>
  <si>
    <t>asohoni@onemilliondegrees.org</t>
  </si>
  <si>
    <t>3128050083</t>
  </si>
  <si>
    <t>2006</t>
  </si>
  <si>
    <t>74</t>
  </si>
  <si>
    <t>370</t>
  </si>
  <si>
    <t>OMD’s Board of Directors is comprised of 13 members, 2 of which identify as Asian and 11 identify as White. Additionally, 7 of the board members identify as Female and 6 identify as Male. OMD employs 74 full time staff members, 6.8% identify as Asian, 44.6% identify as African American, 25.7% identify as Latinx, 21.6% identify as White, and 1.4% identify as bi- or multi-racial.</t>
  </si>
  <si>
    <t>Mission: One Million Degrees accelerates community college students’ progress on career pathways to economic mobility.    
Vision: OMD’s 2028 vision is to be a national model for scaling holistic student supports through sustainable partnerships in service of equitable education and career outcomes for community college students.</t>
  </si>
  <si>
    <t>OMD seeks to produce cascading impacts by delivering holistic wrap around services to community college students that will improve their academic and economic outcomes. Community colleges are uniquely positioned to accelerate economic mobility for BIPOC students and students from low-income backgrounds due to their status as open access institutions, relatively low cost of attendance, and shorter time to degree completion. The long-term goal of these interventions is to drive systems wide change that will advance equity across institutions of higher education by embedding and institutionalizing programming, ultimately improving tuition revenues. Highly skilled scholars will graduate ready to step into in-demand careers capable of providing family-sustaining wages, meeting employer demands in key industries and providing economic mobility to communities that have suffered from historic academic and economic gatekeeping.    
OMD provides scholars with holistic supportive services proven to address their barriers to successfully persisting through school, completing their degree, and transitioning into upwardly mobile careers. This suite of services includes:   
Personal Supports - biweekly meetings with a staff Program Coordinator (embedded on campus), focusing on both on- and off-campus resource connections, and academic and career goal setting/tracking.  
Professional and Career Supports - monthly meetings with a volunteer professional mentor; monthly workshops on work and life skills to support students personal, financial, and professional wellbeing; resume review, interview preparation; and overviews of trends in the labor market for “middle skills” careers to inform academic planning.  
Financial Supports – up to $1,000 annually in participation-based stipends that incentivize engagement, as well as financial literacy education. enrichment grants. and last-dollar scholarships.  
Academic Supports – academic success and community building workshops and assistance transferring to a bachelor's degree program if desired 
In the 2023-2024 academic year OMD served a total of 1921 students, an increase of 95% from the 987 served in the previous academic year, among these 1,120 were served through the expanded Campuswide Partnership with City Colleges of Chicago, 647 were served through the signature program at Harold Washington College, Wilbur Wright College, Harry S Truman College, Kennedy King College, and Richard J. Daley College. In the 2024-2025 academic year, OMD will serve over 2,400 students by continuing to serve new and continuing CW scholars at Olive-Harvey College, enrolling a second-year CW cohort at Malcom X College, and expanding the partnership to Harold Washington College. These students will likely be consistent with OMD’s historic population demographics, with 46% of students served in the 2023-2024 academic year identifying as Latinx, 38% as African American, 6% as Asian/Pacific Islander, 5% as white, and 4% as Bi/Multi-racial or other. Furthermore, 66% of scholars were first-generation college students, 97% were identified as low-income by Pell grant eligibility, and 15% were recent high school graduates.</t>
  </si>
  <si>
    <t>OMD’s ambitious path to operating at scale is effectively demonstrated in the continued increases in the number of students served. In the 2024-2025 academic year OMD will seek to serve a total of 2,400 students. This will include the expansion of Campuswide programming to Harold Washington College, CCC’s downtown campus which houses the system’s business and professional services center of excellence, as well as serving a second cohort at Malcom X College and third cohort at Olive-Harvey College. MXC and OHC were chosen as they serve predominantly Black and Latinx communities (93% of students at OHC identified as BIPOC, 89% at MXC) and are located in Chicago’s South and West side community areas, which have historically been subject to a higher degree of academic gatekeeping and economic marginalization. An anticipated 140 of these students will be apprentices in OMD’s Earn &amp; Learn programs.  With the generous support of the Knight Impact Partners, OMD seeks to meet or exceed the following key performance indicators within the academic year: 
Quantitative Goals:  
80% of scholars meeting all program expectations 
80% of scholars persist from fall to spring semester 
75% of scholars persist from fall to fall semester (full academic year) 
55% of scholars complete the program (complete degree, certificate, or earn the credits required to transfer) within three years of enrollment 
Qualitative Goals:  
Chicago Campuswide Expansion   
Continue integrated programming with CCC to automatically enroll eligible scholars, integrate curriculum, data, and teams across institutions, and research program processes and impact in partnership with the University of Chicago Inclusive Economy Lab.  
Initiate Campuswide Programming at a fourth campus (likely Kennedy King College) in Fall 2025 to serve a total of approximately 2,919 students through the Campuswide initiative at KKC (380), HWC (793), MXC (1,323), and OHC (432) in the 2025-2026 academic year  
Career Readiness &amp; Connections to Jobs	   
Increase curriculum focus on early career planning through an exploration of workforce demand and earnings data to support course of study selection and academic planning. Evaluate through completion rate of scholar portfolio items (resume, LinkedIn, cover letter, and mock interview, and early declaration of program area of study.  
Adjust professional mentorship model to provide year two and three scholars with industry-specific mentorship through Career Spring.   
Pilot “OMD Works” projects to expand access to paid pre-apprenticeship programs in IT and financial services.   
Increase access to generative AI training by embedding training on academic and professional applications into scholar curriculum. Grow the generative AI training cohort to support deep learning for students pursuing IT/CS career pathways and track the number of scholars who receive certification.   
These goals align with the economic opportunity priority area of the Knight Impact Partners by providing targeted interventions that support equitable and inclusive pathways to quality jobs. By improving access to careers that provide family sustaining wages, OMD will support economic development and community resilience, particularly for those subject to systemic marginalization and at risk of displacement from gentrification.</t>
  </si>
  <si>
    <t>Aneesh Sohoni, Chief Executive Officer 
Aneesh is currently the Chief Executive Officer at One Million Degrees (OMD), an organization that accelerates community college students’ progress on career pathways to economic mobility. Aneesh is the child of immigrants and was compelled to begin his career in education because of the meaningful role access to educational opportunity played in his family’s life. He started as a high school English teacher. It was his experience working with his students that brought to life for Aneesh the limitless potential of students and the need to ensure all students had access to opportunities to meet their potential. Since leaving the classroom, Aneesh worked in the public and non-profit sector supporting education reform efforts at a city and state level. This includes his time at the Tennessee Department of Education where he played a major role in the design and implementation of the state’s transformative teacher evaluation system and at TNTP (formerly The New Teacher Project), where he supported human capital and academic reform efforts in Camden, NJ and Boston, MA. Most recently, Aneesh served as the Executive Director for Teach For America in Greater Chicago and Northwest Indiana for nearly six years. Aneesh was previously named to Forbes 30 under 30 for education, is a 2019 Leadership Greater Chicago Fellow, a member of The Economic Club of Chicago, and serves on the board of Teach For India – U.S. 
Rita Raichoudhuri, Chief Program Officer  
Dr. Rita Raichoudhuri is the Chief Program Officer at One Million Degrees – an Education Non-Profit that accelerates economic mobility for low-income students by positively impacting college enrollment, persistence, and career success. Prior to serving in this role, she served as the superintendent of Kalamazoo Public Schools. She has over two decades of experience in education from teacher to principal to central office leader. Prior to coming to Kalamazoo, she worked for Chicago Public Schools where she served in multiple capacities, including executive director of Early College and Career Education where she implemented processes and systems to provide students with rigorous, relevant, college-level, hands-on, and career-focused courses and facilitated the design and implementation of high-quality STEM learning environments. Rita earned her doctorate in urban education leadership from the University of Illinois, Chicago. She also holds a master’s degree in education from Chapman University, and a bachelor's degree in environmental sciences from the University of California, Davis. She has had fellowships at the Erickson Institute in Chicago; Northwestern University; and the University of California, Berkeley. Dr. Raichoudhuri is an avid traveler, passionate about social justice, and loves the arts, museums, live performances, good food, and long walks in nature.</t>
  </si>
  <si>
    <t>OMD will continue to center data-driven decision making as an organizational practice, collecting qualitative and quantitative data from current scholars and apprentices, alumni, coaches, and staff. Program outcomes will be directly monitored both internally and externally. In OMD’s constant pursuit of improvement, we employ several evaluative strategies for analyzing program outcomes. As an internal assessment tool, OMD scholars are evaluated quarterly on the Do Your P.A.R.T rubric which assesses engagement by the metrics of grade point average, attendance of OMD sessions, and engagement with OMD staff and volunteer coaches. The results of this survey are directly uploaded to Salesforce and are closely monitored by program leaders to identify trends and adjustments which would meaningfully improve OMD’s services. Furthermore, OMD disseminates two surveys per year to current scholars, alumni, and volunteers to gauge the effectiveness of the program and drive key strategies. Feedback from these surveys are compiled by the OMD data team to provide quarterly “scorecard” updates to staff that will monitor program outcomes and trends that will be used by Chief Program Officer Rita Raichoudhuri to define program team focus areas and drive key strategies, tactics, and developments to address challenges. OMD also engages alternative strategies for engaging scholars, including hiring alumni to fill key part-time recruitment specialist roles and engaging scholars in paid fellowship programs to serve as digital ambassadors for the program. 
IEL will serve as external monitoring and evaluation support and provide insight into which program components are functioning most effectively and identify potential areas for programmatic, operational, or strategic development. These reports and key learnings from IEL will be published by University of Chicago and publicized by OMD to help advance institutional learnings across the field to accelerate initiatives to improve equity in systems of higher education.</t>
  </si>
  <si>
    <t>OMD works in partnership with the City Colleges of Chicago to deliver holistic supportive services to local community college scholars. Through the historic signature scholarship program, scholars applied to OMD and received holistic supportive services throughout the academic year. Through the expanded Campuswide partnership, eligible students are automatically enrolled in the program. The expanded partnership embeds collaboration at all levels to streamline service delivery and ensure resources are additive and non-duplicative.    
In support of this partnership, the University of Chicago’s Inclusive Economy Lab has partnered with OMD to monitor and evaluate the Campuswide Initiative to ensure fidelity to OMD’s evidence-based holistic student support model.   
OMD additionally partners with local workforce leaders to deliver career connected learning in the form of apprenticeship and pre-apprenticeship programs, including OMD’s Earn &amp; Learn partnerships and two new programs that will be piloted in the 2024-2025 academic year to prepare students for success in future internships and apprenticeships.  Key partners include Aon, Allstate, and Microsoft.   
Outside of Chicago, OMD collaborates with institutions of higher education through the Advisory and Capacity Building initiative, which seeks to institutionalize OMD’s proven model for holistic student support to effectively leverage local capacities, sustainably deliver services to students, and drive systems change. To date, OMD has three core ACB partnerships that will inform the development of institutional coaching and technical assistance products to drive improvements in students' rates of completion and transfer:  
Transfer Pathways partnership with the University of Illinois System (U of I) to increase four-year enrollment among Illinois’ community college students with the aim of propelling economic mobility.   
OMD is partnering with Prairie State College and South Suburban College to institutionalize OMD’s holistic supportive service model to drive equitably degree attainment and build access to upwardly mobile jobs.   
OMD is partnering with Complete College America to develop a policy and practice collaborative project to partner with three community colleges across the country. Under this collaborative, OMD will guide campuses through the process of integrating its proven model for holistic student supports to serve cohorts of 80 students per campus and CCA will guide advocacy and policy development at the state level to support the financial and legislative enabling conditions to sustain these interventions after the pilot phase.</t>
  </si>
  <si>
    <t>OMD centers DEI in all aspects of operations, including internal practices, board recruitment policies, external relations, and program design.   
Given the significance of personalized connection and relationship building between a scholar and program coordinator, OMD believes our staff should reflect the identities and experiences of our scholar population. Currently 67% of OMD’s senior leadership team identify as BIPOC, and of OMD’s 74 full-time staff members, 79% identify as BIPOC, slightly below that of OMD’s scholar population, of whom 95% identify as BIPOC. Additionally, many program team staff are graduates of community colleges, and several are alumni of the OMD program itself. Currently of OMD’s 13 board members, 15% identify as BIPOC, ongoing recruitment is prioritizing candidates who identify as BIPOC and have proximate background experiences to those of OMD’s scholar population (i.e. low-income background or community college graduates) 
Internally OMD prioritizes DEI in company communications, culture, and policies. In FY24 OMD’s equity council implemented an engagement with the Adaway Group to assess the role of power and cultural biases and assumptions in the organization. This included establishing a shared set of definitions, a community understanding of DEIA principles, and a commitment to communication and continued improvement. OMD also holds several formal and informal affinity groups, including spaces for staff identified as BIPOC, LGBTQ, and those who have parenting or family responsibilities.   
Further, OMD is working to align the board of directors more closely with its scholar population's experiences and backgrounds. This has included an evaluation of the role of the board, the launch of the Executive Advisory Board to guide workforce development programming, and a new recruitment strategy which seeks to increase the number of board members with experiences and backgrounds mirroring the scholars (BIPOC, community college graduates, low-income backgrounds, or first generation).   
External relations, including development, communications and marketing, and partnerships prioritize equity in storytelling, prospecting, and messaging. This includes uplifting stories of scholars with a focus on their experience, this non-paternalistic strategy decenters the organization and recognizes the agency and amazing accomplishments of OMD’s scholars. Additionally, OMD evaluates funding prospects on mission and principles to ensure alignment with the values and principles of the organization.   
Program components and practices center equity in the approach, program model and treatment of scholars. This includes viewing scholars as their whole selves, and providing holistic supportive services designed to address the risk factors that could increase their likelihood of desisting. This is bolstered by the personal connection that program coordinators develop with scholars and provide connections to additional resources as scholar needs develop. OMD’s professional development curriculum delivered at Saturday Scholar Development Sessions centers DEI principles, including sessions on navigating micro-aggressions, cultural biases, and self-advocacy. Program evaluation and development engages the voices of scholars through semesterly evaluations, regular surveying, and focus groups.</t>
  </si>
  <si>
    <t>The key factor that sets OMD apart from peer organizations is the unique, research backed holistic supportive service model. By recognizing the needs of the whole student OMD seeks to ensure students feel a sense of belonging and gain access to the resources necessary to accelerate their progress on pathways to economic mobility. Through a randomized control trial, IEL found that accessing OMD increases a students’ likelihood of enrollment by 70%, increases their chances of persisting from fall to spring by 94%, and ultimately OMD students were 73% more likely to earn their degree. Additionally, the Campuswide partnership expands upon the success of the historic model to increase the accessibility, efficacy, and sustainability of the intervention. OMD’s first of its kind public-private partnership with City Colleges serves as a national model that drives student attainment, supports systems change, and develops equitable talent pipelines. The primary drivers for innovation include:    
Opt-Out Automatic Enrollment - – flipping the enrollment model from an application with restricted capacity to serving all eligible students automatically innovates to increase accessibility of services to those with higher access barriers and average individual need   
Program Integration/Shared Goals - – developing a shared set of goals with each campus based on their unique student population, context, and strategic priorities ensures programming builds toward systemic, institutional, and individual change   
Sustainable Business Model- OMD's pivot to a fee-for-service model beyond 2026 ensures the sustainability of the program as a revenue neutral resource through improved tuition as a function of increased persistence    
OMD’s theory of change centers delivering services to students of today and driving systems change to embed and sustain programming for future students. Through the Campuswide initiative this is achieved through OMD’s shared goals framework, sustainable business model, and by increasing collaboration at all levels. In OMD’s Advisory and Capacity Building work, this is achieved through the institutionalization process, by embedding its model of holistic student supports into the campus student affairs department, OMD seeks to prove to participating institutions the value add of student support programming, including improved tuition revenues and advancing the position of community colleges.</t>
  </si>
  <si>
    <t>Thanks to the generous support of the philanthropic community, OMD successfully fundraised the $20M required to pilot the Campuswide Initiative in December 2022, which covers a portion of operating costs through the end of the pilot phase in July 2026. OMD and CCC recognize that implementing a first of its kind public-private partnership of this scale carries significant challenges and requires a shared framework of operations and goals. To support integration and sustainability of the project, OMD and CCC have embedded collaboration at the systems, college leadership, and campus advisor level such that OMD’s program is working to build impacts at the student level through improved career planning streamlining academic planning, college leadership partnering with OMD leaders to build toward campus-specific goals and address the unique needs of each campus’s scholar population, and ultimately work toward CCC’s goal of closing the racial equity gap in degree attainment. OMD and CCC have formed an advisory council to guide the partnership comprised of 9 local community leaders in philanthropy, higher education, the local workforce, and an OMD alumnus. The advisory council seeks to advise on the implementation of the expanded Campuswide partnership, support the development of a long-term path to scale in CCC, and champion the initiative within their institutions and networks. OMD has additionally maintained weekly OMD-CCC coordination meetings, monthly checkpoints with IEL, and quarterly retreats with CCC Chancellor Juan Salgado.   
At the end of the pilot phase in July 2026, OMD and CCC will sign a new MOU to continue the process of institutionalizing OMD’s holistic supportive service model available to all eligible CCC students on an opt out basis. This MOU will include establishing a fee-for-service revenue model under which CCC will reimburse OMD on an annual basis for each student served. Currently, OMD estimates an additional $3,000 per student generated for CCC, compared to total direct cost per student of $1,990. The MOU will assess the partnership in four key dimensions to inform the development of the post-pilot plan: impact, scalability, integration, and financial feasibility. Based on these conversations OMD sees two likely pathways to scale under the new MOU, either pausing to refine the program model while implementing the program at four campuses until a scalable model and key programmatic criteria are met, or continuing pace to expand the partnership to one additional campus per year until fully integrated at all campuses in the 2028-2029 academic year.</t>
  </si>
  <si>
    <t>Silicon Valley Community Foundation ($7,000,000) 7/1/2022 
Pritzker Foundation ($5,000,000) 11/21/2022-12/31/2026 
PwC Charitable Foundation ($3,000,000) 12/31/2025</t>
  </si>
  <si>
    <t>Unconfirmed, ask amounts 
JPMC Foundation $1,000.000 
ECMC $800,000 
Arrow Impact $600,000</t>
  </si>
  <si>
    <t>No target, though 66% of scholars are between 18-25 and 33% are 26+</t>
  </si>
  <si>
    <t>Asian
Black / African American
Latino/x/e / Hispanic
Multiracial / Mixed
White</t>
  </si>
  <si>
    <t>97%</t>
  </si>
  <si>
    <t>https://www.jotform.com/uploads/Sol_Flores_sflores/242752736237461/6053312556417933798/FY25_OperatingBudget_OMD.pdf
https://www.jotform.com/uploads/Sol_Flores_sflores/242752736237461/6053312556417933798/IEF_OMD_501c3%20status_IRS%20%283%29.pdf
https://www.jotform.com/uploads/Sol_Flores_sflores/242752736237461/6053312556417933798/FY25%20OMD%20Board%20List.pdf
https://www.jotform.com/uploads/Sol_Flores_sflores/242752736237461/6053312556417933798/FY23%20Audit-%20FINAL.pdf
https://www.jotform.com/uploads/Sol_Flores_sflores/242752736237461/6053312556417933798/OMD%20Tax%20Year%202022-%20Form%20990.pdf
https://www.jotform.com/uploads/Sol_Flores_sflores/242752736237461/6053312556417933798/5.24.24%20Updated%20Key%20Leadership%20Bio.pdf</t>
  </si>
  <si>
    <t>https://www.jotform.com/uploads/Sol_Flores_sflores/242752736237461/6053312556417933798/OMD%20_%20U%20of%20I%20System%20Partnership%20Concept%20Paper.pdf
https://www.jotform.com/uploads/Sol_Flores_sflores/242752736237461/6053312556417933798/OMD%20_%20CCA%20_%20Partnership%20Concept%20Paper.pdf
https://www.jotform.com/uploads/Sol_Flores_sflores/242752736237461/6053312556417933798/OMD%20Case%20For%20Support%20Slides.pdf
https://www.jotform.com/uploads/Sol_Flores_sflores/242752736237461/6053312556417933798/OMD%20Scholar%20Highlights.pdf
https://www.jotform.com/uploads/Sol_Flores_sflores/242752736237461/6053312556417933798/OMD%20Annual%20Report%20Link_2355.pdf</t>
  </si>
  <si>
    <t>Oct 20, 2024</t>
  </si>
  <si>
    <t>elizabeth@hopechicago.org</t>
  </si>
  <si>
    <t>Hope Chicago</t>
  </si>
  <si>
    <t>86-2828908</t>
  </si>
  <si>
    <t>303 E Wacker Dr</t>
  </si>
  <si>
    <t>Ste 360</t>
  </si>
  <si>
    <t>https://www.hopechicago.org/</t>
  </si>
  <si>
    <t>Salmonowicz</t>
  </si>
  <si>
    <t>(312) 477-3174</t>
  </si>
  <si>
    <t>Black or African American (not Hispanic or Latino): 40%
Hispanic or Latino: 8%
White (not Hispanic or Latino): 44%
AAPI: 8%
Female: 40%
Male: 60%</t>
  </si>
  <si>
    <t>Hope Chicago’s mission is to create pathways to success for multiple generations of Chicagoans through equitable access to higher education. We provide scholarships and wraparound services to students and one parent or guardian as part of our two-generation approach. Hope’s bold vision is education and economic equity for all Chicago students and families, achieved through a holistic support model throughout high school, key transitions, and postsecondary pathways.</t>
  </si>
  <si>
    <t>Two-Gen Supports</t>
  </si>
  <si>
    <t>Chicago’s neighborhoods are divided by economic status, which all too often aligns with race. The South and West side communities Hope Chicago serves face severe systemic barriers to wealth creation with 32% of Black families and 24% of Latino families in Chicago living in poverty. Further, ample evidence shows that higher education is a key driver of upward economic mobility, yet, many Black and Latino families in our city lack access to the necessary resources to persist through postsecondary pathways. These disparities in access are holding families back and contributing to the vast and continuously widening wealth gap. Hope Chicago’s unique two-generation model, the first of its kind in Chicago, is a comprehensive approach to removing barriers and increasing access to postsecondary pathways. Our theory of action is that increased postsecondary access leads to higher rates of enrollment and degree or credential attainment, resulting in better job opportunities, more earning potential, and increased household wealth. By providing supports and resources to students and their parents simultaneously, we will have a more significant impact, faster and at scale. Achieving debt-free higher education and/or training credentials has the power to fuel economic and social mobility for individuals, families, and, importantly, their communities. 
Through last-dollar scholarships, Hope Chicago completely removes the debt burden for our Scholars, enabling them to attend a two or four-year university, certificate program, or vocational training debt-free. This project centers on our structure of wraparound support to ensure that students are prepared and supported at both the high school and college levels. At each of our partner high schools, Hope Chicago Student Success Coaches work day-to-day as an extension of the postsecondary leadership team, providing career advising, and academic and transition support. At the college level, each higher education partner provides a Campus Contact (CC), an on-campus resource for Scholars. In partnership with Hope Chicago Program Managers, Campus Contacts provide academic advising and progress monitoring while creating a community for Scholars on campus to ensure they are on the road to completing their programs or degrees. 
Through our CORE program, focusing on career readiness, Hope Scholars are matched with top Chicago companies that provide paid summer internship opportunities. CORE is designed to expose Hope Scholars to various industries and real-world careers that challenge them, all the while opening up avenues for professions and future employment. We work with students to ensure that they either secure an internship, job, or summer classes to stay on track.
One parent or guardian of each Hope Scholar is also eligible to pursue debt-free postsecondary education. Through our Parent Scholar Program, parents or guardians choose a two or four-year university, vocational degree or certificate, or a workforce or job training program. Career and technical guidance is provided to ensure that parents have the unique support they need to be placed in jobs that will help create upward mobility for their families. All parents, regardless of whether or not they attend college or a vocational program, engage with Hope Chicago on a variety of fronts and receive wraparound supports, because we know students are far more likely to be academically successful when families are stable and doing well.</t>
  </si>
  <si>
    <t>To measure success, we have developed the following objectives and milestones to guide this project:
Goal 1: 80% of seniors from Hope Chicago’s five partner high schools will enroll in a two or four-year degree program or a vocational, certificate, or trade program for the 2025-2026 school year.
Activities:
- Enrollment in postsecondary pathways
- Fourth cohort works with Student Success Coaches on college readiness and career exposure
Milestones:
- 100% of students complete concrete postsecondary plans
- 100% of students complete Hope Chicago intake forms
- 80% FAFSA completion
Timeline:
- College and career readiness in high school from September 2024 through May 2025
Goal 2: Achieve an increase in persistence rates, with 63% of enrolled Hope Scholars continuing to their second year of college.
Activities:
- 10-day check-ins
- Hold winter/summer family sessions to update Scholars and their families on progress
- Students participate in CORE program through internships, mentorship sessions, and summer classes
- Host all college-going Scholars at annual summer GoalGetters Conference
Milestones:
- 80% attendance at 10-day check-ins
- 80% attendance at family sessions
- 25 Hope Scholars are placed in internships
Timeline:
- Family sessions occur in January and July
- Begin working with partners on internship placements in October 2024; students are placed by May 2025
- GoalGetters Conference held in June 2025
Goal 3: A total of 150 Parent Scholars will enroll in postsecondary pathways, workforce opportunities, or pathway prep by December 31, 2024, with a total of 225 by December 31, 2025.
Activities:
- Conduct parent outreach and engagement through workshops and training
- Eligible parents register with Hope Chicago
- Parent Scholar enrollment
Milestones:
- 20% of eligible parents enroll in a postsecondary or workforce pathway or pathway prep
Timeline:
- Registration occurs at multiple touchpoints throughout the year including he summer GoalGetters Conference and both winter and summer family sessions
- Monthly touchpoints with all registered parents</t>
  </si>
  <si>
    <t>Hope Chicago’s Chief Impact Officer, Chief Program Officer, and Director of Program Strategy oversee the teams that administer our Two-Gen Supports. These leaders have extensive experience in education and the postsecondary access space, and are well-positioned to ensure this project is executed successfully. Detailed bios can be found below.
Cameron Hardamon, Chief Impact Officer - Cameron Hardamon is the Chief Impact Officer for Hope Chicago. Cameron is a seasoned non-profit leader who specializes in working with mission-driven start-ups. Prior to joining Hope Chicago, Cameron served as Director of Special Projects for the City of Chicago under Mayor Lori E. Lightfoot. Her work there focused on building My CHI. My Future. a city-wide initiative focused on connecting youth to out-of-school time programs, and helping to guide and implement the City’s response to COVID-19. Cameron’s career began in sports management working for the NBA, WNBA, and the NCAA. Seeking to have more of an impact, she began consulting with non-profit organizations which ultimately led her to become a leader in development within CCS, Concordia Place, and After-School All-Stars. Over her career, Cameron has raised more than $100M to support mission-driven programs. At her core, Cameron is a dot-connector, striving to see the bigger picture and leveraging relationships to create impact and bring meaningful missions to life. But most of all, Cameron enjoys projects that are focused on equity and education, creating opportunities for young people to explore their passions and ultimately lead to brighter futures for themselves. Cameron graduated from the University of Tennessee and received her Master’s in Public Affairs from IUPUI. 
Michele Howard, Chief Program Officer - Michele L. Howard is the Chief Program Officer of Hope Chicago. Prior to joining Hope Chicago, Michele served as Senior Scholarship Manager in Chicago Public Schools. During her tenure, she secured partnerships with more than 200 scholarship providers annually and increased scholarship offers for CPS students to more than $1B each year from 2017 to 2021. While at the school district, Michele also supported 60 south side elementary and high schools as a College and Career Specialist. Michele’s passion for her work and expertise began during her time working for the MDRC, a nonpartisan nonprofit education and social policy research organization, where she worked on the “College Match” project in Chicago. Her prior experience includes helping create and lead 365 Girl, a nonprofit foundation working to empower girls ages 10-18. Michele has been honored for her work by the Omega Psi Phi Fraternity, Iota Chapter, Women in Transportation, and received the Chicago Sky’s Redefine Possible Women’s Leadership Award. 
Paul Kendrick, Director of Program Strategy - Paul Kendrick, Hope Chicago’s Director of Program Strategy, was previously the Executive Director of Rust Belt Rising, an organization training Midwest leaders on connecting with working families, winning elections, and delivering change to create thriving communities. Paul is an adjunct professor at National Louis University in Chicago and an elected Community Representative for the Local School Council of Lincoln Park High School. Paul also previously served in President Obama's White House Presidential Personnel Office, recruiting and developing talented, diverse teams of appointees for the Administration. He was a Presidential Appointee as a Special Assistant at the U.S. Department of Education, where he elevated educators' voices and ideas that were working in schools across the country. He began his career with four years at the Harlem Children's Zone, building their nationally recognized College Success Program from 3 staff members and 130 participants to a team of 29 staff and 760 students, persisting at rates that closed the college retention gap. His articles have appeared in the New York Times, Chicago Tribune, Chicago Sun-Times, Washington Post, USA Today, Fortune, Huffington Post, American Heritage, The Hill, and Talking Points Memo and he has provided analysis on CNN, MSNBC, CBS News, and WGN-Chicago. After earning his bachelor's degree from George Washington University and being awarded the Martin Luther King Award for service that embodies Dr. King's legacy, he earned a Master of Public Administration as a Presidential Administrative Fellow and worked in GW’s Office of Government and Community Affairs.</t>
  </si>
  <si>
    <t>Hope Chicago deeply values data-driven decision-making and stakeholder engagement to ensure our programs and policies meet the needs of our Scholars. The Hope Chicago data team has developed and continues to build out tools to engage our Scholars and ensure their voices are elevated. Hope Chicago administers routine, short student experience surveys to participating students roughly every three weeks throughout the year. These pulse surveys address research-based indicators of academic success such as class attendance, academic confidence, help-seeking behavior, social belongingness, mental health, and commitment to school. The pulse surveys will help Hope Chicago build a broad picture of students’ experiences as they adjust to college and inform how we structure our programs and support. 
Beyond frequent pulse surveys, Hope Chicago administers an annual, more in-depth Student Experience Survey. All current active Hope Scholars receive the survey and complete questions related to school, work, and family. The survey also measures self-efficacy, sense of belonging, and challenges Scholars face. This year’s survey was released in February and has been extremely valuable in understanding the Scholar experience. We have also opened up more direct lines of communication with Scholars through the Hope Chicago App. Ninety-seven percent of Scholars utilize the app, which provides ample opportunities for our team to collect qualitative and quantitative data both formally and informally. In addition, Hope Chicago’s daily collaboration with universities in support of students is another rich source of qualitative information about policies and practices that are working or not working. These insights range from the way financial aid and housing offices can negatively impact student performance, to the types of promising student supports at various institutions across the state. 
Aiming to be responsive to the unique needs of students and families, Hope Chicago’s collaborative efforts with our community-based anchor partner - Instituto del Progreso Latino - were instrumental in the development and design of the Parent Scholar Program. We know that the details of our program are more attuned to our parent population and neighborhoods’ needs because of their input. In developing the Parent Scholar Program, our staff hosted listening sessions and administered surveys to acquire a deeper understanding of what parents want from their postsecondary education experience. This enabled us to shape our Parent Scholar Program with the needs of our participants at the forefront. Through discussions with our community-based anchor partner and direct communications with potential Parent Scholars, the Hope Chicago team identified an additional unmet need. Many of our potential Parent Scholars need support in acquiring a GED or high school diploma, which is a Hope Chicago Scholarship requirement. We developed a Pathway Prep route specifically for this group of parents and guardians.</t>
  </si>
  <si>
    <t>Hope Chicago’s in-network institutions include all public four-year colleges and universities in Illinois, all City Colleges of Chicago, and nine private institutions. We actively work to cultivate partnerships, and just this year announced the addition of six new private higher education partners, bringing our total to 29 partner institutions. Together, these options offer Hope Scholars a broad range of educational programs, career opportunities, and geographic choices across Illinois for their postsecondary experience. Hope Chicago signs detailed MOUs with each higher education partner, which set out the parameters of the partnership including the duration, scope, purpose, data-sharing, and responsibilities of each party. Hope Chicago Program Managers partner closely with a dedicated Campus Contact at each partner university to ensure Scholars have access to the necessary resources to continue meeting scholarship eligibility requirements. Our partnerships with One Million Degrees (focusing on students attending two-year programs) and Bottom Line (focusing on students attending four-year universities) are essential to providing intensive wraparound support for Hope Scholars, many of whom are the first in their families to attend college.
To creatively and holistically support Parent Scholars, we have established many formal partnerships with a variety of colleges, universities, nonprofit organizations, and corporations. Hope Chicago pathway partners offer a variety of workforce training opportunities, paid apprenticeships, certifications, and direct employment for Parent Scholars. Partners include: Chicago Urban League, Instituto del Progreso Latino, Noble Forward, WGU, WGU Academy, Southern New Hampshire University, National Louis University, City Colleges of Chicago, DPI, Northwestern Medicine, Hire 360, Accenture, Blue Cross Blue Shield of IL, CHICAT, Lift Up, and Jump Hire.</t>
  </si>
  <si>
    <t>Hope Chicago’s mission is to eliminate racial and economic inequities within Chicago, and we believe postsecondary education is the keystone of our endeavor. In pursuing a more equitable Chicago community, we aim to create a diverse, inclusive, and equity-focused organization: a team that is reflective of our city both demographically and linguistically, which partners with nonprofits and vendors that share our equity-focused goals and values, and engages deeply and authentically with the students, families, educators, and communities that we serve. Living our values, means that we intentionally staff our Board and staff to reflect the rich racial, ethnic, cultural, and linguistic diversity of Chicago and the communities we serve, and – as a result – is better able to oversee and perform our important work.</t>
  </si>
  <si>
    <t>Hope Chicago is the only program of its kind in Illinois. Unlike other scholarship programs that typically have specific requirements, through our unique approach, every student regardless of GPA is eligible for a scholarship. By increasing postsecondary access for all students, we aim to improve outcomes for entire families and communities that have been traditionally kept out of these spaces and opportunities. Not only are all students eligible, but we begin working with our Scholars during high school to create a college-going culture and ensure that they are prepared for postsecondary and career success. Our innovative two-generation model also sets us apart. One parent or guardian of each Hope Scholar is eligible to receive a scholarship. This approach creates mutual accountability, and we anticipate that it will lead to increased persistence.
Hope Chicago has been intentional about forming partnerships with organizations that already engage in this work and are doing it well. We have the unique ability to act as convener with experts such as One Million Degrees and Bottom Line, who already utilize evidence-based approaches to support students through two and four-year programs.</t>
  </si>
  <si>
    <t>The generous initial donations from Hope Chicago’s founders laid a strong foundation for the organization. Hope Chicago was able to leverage these preliminary gifts to garner support from other individuals, donors, and corporations to enable our promise to provide scholarships to the first 4,000 students at our five partner high schools. In just the few years since our founding, we have diversified our funding sources to also include state funding from Illinois, demonstrating the commitment of the state government to our mission. The organization’s current financial position is strong, and we have ambitious fundraising goals to ensure we can continue to support and expand our work.</t>
  </si>
  <si>
    <t>Peter Kadens, $3.2 ($16M pledge)
Theodore Koenig, $1.25M ($10M pledge)
Anonymous Family Foundation, $1M ($5M pledge)</t>
  </si>
  <si>
    <t>85</t>
  </si>
  <si>
    <t>https://www.jotform.com/uploads/Sol_Flores_sflores/242752736237461/6052599164742444413/Hope%20Chicago%20FY25%20Budget.pdf
https://www.jotform.com/uploads/Sol_Flores_sflores/242752736237461/6052599164742444413/Hope%20Chicago%20-%20IRS%20Tax%20Exempt%20Letter.pdf
https://www.jotform.com/uploads/Sol_Flores_sflores/242752736237461/6052599164742444413/Hope%20Chicago%20Board%20of%20Directors.pdf
https://www.jotform.com/uploads/Sol_Flores_sflores/242752736237461/6052599164742444413/Hope%20Chicago%20FY23%20Audited%20Financial%20Statements.pdf
https://www.jotform.com/uploads/Sol_Flores_sflores/242752736237461/6052599164742444413/Hope%20Chicago_FY%2023%20Form%20990%20-%20Public%20Copy.pdf
https://www.jotform.com/uploads/Sol_Flores_sflores/242752736237461/6052599164742444413/Hope%20Chicago%20-%20Key%20Staff%20Bios.pdf</t>
  </si>
  <si>
    <t>Oct 15, 2024</t>
  </si>
  <si>
    <t>cjaffe@heartlandhumancareservices.org</t>
  </si>
  <si>
    <t>aadibe@carachicago.org</t>
  </si>
  <si>
    <t>Cara Collective</t>
  </si>
  <si>
    <t>36-4268095</t>
  </si>
  <si>
    <t>237 South Desplaines</t>
  </si>
  <si>
    <t>www.caracollective.org</t>
  </si>
  <si>
    <t>Ashli</t>
  </si>
  <si>
    <t>Adibe</t>
  </si>
  <si>
    <t>872-299-5209</t>
  </si>
  <si>
    <t>Kathleen St. Louis</t>
  </si>
  <si>
    <t>Caliento</t>
  </si>
  <si>
    <t>kcaliento@carachicago.org</t>
  </si>
  <si>
    <t>312-798-3319</t>
  </si>
  <si>
    <t>1991</t>
  </si>
  <si>
    <t>106</t>
  </si>
  <si>
    <t>500</t>
  </si>
  <si>
    <t>Cara Collective strives to have a diverse staff and board. Below are current demographics.
Staff (107 staff) - Male (36%), Female (62%), Non-Binary (2%), Caucasian (31%), African-American (52%), Asian American (2%), Hispanic/Latino (10%), Native American (2%), and more than one race (3%). 
Board of Directors (22 members) – Male (50%), Female (50%), Caucasian (41%), African-American (41%), Asian American (9%), Hispanic/Latino (4.5%), and more than one race (4.5%).</t>
  </si>
  <si>
    <t>Mission: To build an inclusive economy by developing employment pathways to advance transformative individual and community success.  
Vision: To fuel a courageous national movement to eradicate relational and financial poverty.</t>
  </si>
  <si>
    <t>Founded in 1991, Cara Collective’s mission is to build an inclusive economy by developing employment pathways to advance transformative individual and community success. Through our four entities – Cara, Cleanslate, Cara Connects, and Cara Plus – we engage job seekers, employers, and other organizations in Chicago and across the country to break the cycle of poverty. Over the past 33 years, we have moved the needle on poverty alleviation, gaining employment for more than 9,500 people and creating more than 15,000 jobs.
Target Population
Cara serves motivated job seekers who live below the federal poverty level (97%), have experienced episodic homelessness, and/or are unemployed or underemployed. Many of the barriers our participants face, range from criminal background, substance abuse, and low levels of education, and stem from systemic conditions that create and perpetuate inconsistent access to opportunity. Cara participants come to us primarily from communities on the South and West Sides of Chicago, with the top five community areas being Auburn Gresham, Chatham, Englewood, South Shore, and Roseland. The unemployment rate for Black residents in Illinois remains high for individuals over 20 years of age. In April 2023, Black unemployment rate in Illinois was at 10.2%, more than three times that of the White unemployment rate of 3.2% and more than double the rate of Hispanic unemployment at 4.6%. Additionally, Black households in Chicago on average have ten times less wealth than white households. Of the people we serve, 82% of our job seekers identify as Black/African American, 7% as Hispanic, 7% as white, and 4% as other.  30% of our participants do not have a high school diploma/GED, and 79% have a conviction history. 
Key Activities 
Cara recruits participants from sources including self-referrals, word of mouth from alumni, and referrals from more than 80 community organizations. Once onboarded, participants gain traction in their journey through a variety of training, coaching, and transitional job experiences designed to build skills while also building self-awareness around their full potential. Our programs are grounded in the ever-evolving needs of our job seekers while remaining aligned with the needs of the workforce. Participants enter one of two program pathways: 1) Cara Core Program (CCP) or 2) Cara Accelerator Program (CAP). In each, job seekers complete a 4-week program. CCP is delivered over 4 days per week and totals 26 workshops while CAP is delivered over 2 days per week with a total of 10 workshops.
• Workforce Development Training: Our cohort style model focuses on social-emotional learning and workplace competencies. Job seekers attend workshops on personal and professional development, digital literacy, and workplace competencies including professionalism, time management, teamwork, conflict management, and communication. 
• Supportive Services: Cara provides supportive services including housing, financial and digital literacy, mental health, childcare, and more. Where we do not offer support in-house, we refer to partners. Separately, to support job seekers path to situational stability, CCP participants receive stipends of up to $500 total throughout the program and CAP participants receive paid training for their time in the classroom.
• Social Enterprises: Our two employment social enterprises (ESE’s) Cleanslate (an exterior maintenance business) and Cara Connects (a mission driven staffing firm) create jobs and provide temporary employment opportunities for participants experiencing the greatest barriers to meaningful employment. Both ESE’s allow participants to gain on-the-job experience, while earning income and building their resume. Our headquarters for Cleanslate is in Englewood, a community area where many of our job seekers are also from. This location was determined intentionally, to make our services more accessible to job seekers on Chicago’s South Side.
• Job Placement: With over 70 employment partners, we have a diversity of employment opportunities to match the diversity of candidates who enter our programs. We also employ strategies that keep us relevant to shifts in the market. Key Employment Partners include organizations such as BMO, CTA, Advocate Aurora Health, and Freedman Seating Company.
• Retention Support: Participants are assigned a Coach within the first week of the program who provides support throughout their Cara journey and through one year in a long-term job to support with job retention.
Cara’s Expansion Arm: Cara Plus, leverages our experience in workforce development to focus on practice change at both the practitioner level to improve workforce development interventions and at the employer level to create more opportunities for untapped talent.</t>
  </si>
  <si>
    <t>$250,000</t>
  </si>
  <si>
    <t>Overall, Cara Collective’s goal through our workforce development programming is to support job seekers in securing and retaining long-term employment opportunities. In the current fiscal year, FY25, we aim to generate 1,045 jobs total for our participants. We will achieve this goal by tracking the key programmatic metrics and goals below.
• # of participants who start the program on Day 1 – 1,121
• # of participants who reach traction, a signal of meaningful intervention - 825
• # of participants who achieve send-out-eligibility, indicating a participant has met situational stability criteria and has shown proficiency in five workplace competencies - 660
• # of participants placed into jobs – short-term jobs: 731; long-term jobs: 314
• Retention rate for long-term jobs, marking 365 consecutive days of employment with a single job – 70%
In addition to our quantitative data above, we know that much of our impact is not captured in the numbers. Cara strives to hear and learn from participants about their experience and the changes in their lives, families, and communities as a result of their work with Cara. We administer five surveys to participants at various stages of their journey with our program – including alumni who have made one year on the job as well as individuals who do not complete our program. Our goal is to better understand what is working and where there is opportunity to improve support. Each participant is also paired with a coach, where they celebrate accomplishments and work through challenges. This feedback from surveys and our coaches is instrumental in driving how our program is implemented.  
Timeline and Milestones
Cara’s program is year-round and we have key activities and milestones that help us drive toward the goals above. Much of our work occurs on an ongoing basis throughout the year, aligned with goals set for each fiscal year. These include: 
• Recruitment - Our team works with community-organizations who refer participants to us and conducts early engagement conversations with potential participants.
• Participant intake - We assess participants for program eligibility.
• Supportive Services and financial coaching - We provide wrap-around services including onsite access to mental health and facilitate referrals to partnering organizations that provide childcare, housing, physical health, etc.
• Employment services - We identify job opportunities and prepare participants for interviews.  
• Career and financial advancement opportunities – Our coaches support with success within the program, coach participants on how to advance their career, and manage finances.
Cara facilitates 11 cohorts throughout the year, each are four weeks long and begin at the beginning of the month. Below is a breakdown of our program activities that occur or start on a monthly basis:
• Pre-cohort services - This programming helps prepare participants before the formal program start date and includes resume creation and digital literacy. This is limited to availability.
• Cohort-based training - A 4-week cohort-based workforce development training begins at the beginning of each month. 
• Great Wall Celebration - This celebration recognizes participants who have reached one year on the job. Occurs monthly.</t>
  </si>
  <si>
    <t>Biographies of Cara Collective’s executive team are included as an attachment. Our leadership team is diverse with varied experiences that contribute to their qualification in their roles. Cara’s workforce development training program is a high-touch model that relies on key personnel to implement it. Cara’s program is staffed by more than 40 team members who work directly with participants, and we prioritize hiring team members who have lived experience similar to that of our participants. 30% of our staff are former participants, making them uniquely qualified to work with participants and contribute to the strategic direction of our program. Details on key teams and roles are below.
Recruitment &amp; Admissions – Works to find, interview, and onboard the newest job seekers who join our Cara community. This includes building relationships with community-based organizations who may serve as referral partners, helping job seekers find their way to our program.
Engagement –Works with participants to assure their success at every step of their journey with us, including coordinating and setting up sessions with volunteers, training job seekers on our job search platforms, and most importantly, making referrals for supports and assistance that participants may need.
Training – This team of seven works with Cara participants in developing the personal and professional skills that will ensure long-term success. They lead all of our social emotional learning and workplace competency training workshops. 
Individuals Development Specialists/Coaches – Our coaching team of nine works with and supports our participants on every step of their journey to gainful employment and beyond. Assigned to participants at the end of their first week of programming, coaches support participants through the program and through their first year of their permanent job.
Supportive Services – This team provides comprehensive wraparound services such as housing, financial and digital literacy, mental health, childcare, and more. The most recent addition to this team is a Manager of Participant Health &amp; Wellness who works with two graduate level counseling interns to provide counseling services to participants.
Employment Services – This team manages relationships with Cara’s employment partners while working with job seekers on finding the best job for them. The team includes members who conduct business development to identify new corporate partners to hire Cara participants and those who work with companies that are actively hiring to find the best fit for job seeker and employer.</t>
  </si>
  <si>
    <t>Since its founding, Cara Collective has evolved to remain responsive to the needs of job seekers and our community. While remaining true to our mission and core values, our program continues to evolve and expand to provide the most impact and long-lasting results for those who participate in our program and beyond. 
Participant Surveys 
Upon our return to in-person training following the pandemic, we began implementing a series of participant surveys as part of our ongoing commitment to make sure we are taking into account the voices of our participants as we are continuously seeking opportunities to improve our work and impact for job seekers. Our surveys help to gauge participant feedback at five major milestones of their journey: orientation, after the end of the four-week training program, three months following completion of the training program, job placement, and one year following job placement. To date, we have received more than 1,000 surveys and have used responses to implement program updates. Some themes that were lifted from the survey and that we have acted on include the introduction of incentive-based programming, paid training, and options for certification. We are currently providing stipends to participants at key milestones to incentivize program completion. We are also expanding opportunities for certification training.  
Community Engagement
Cara recognizes that we cannot do this work alone or in a silo and that we must be connected to the greater community. We work with partners who refer job seekers to us to better understand the needs of their clients. This can provide critical insight as we determine how we can enhance our program to best meet the evolving needs of our job seekers and to align our program options to match the interests and circumstances of participants. This also allows us to understand the broader needs of the communities we serve, if our program is the right fit and/or so that we might understand how community needs are changing. Through relationships with organizations who refer to us, who we refer participants to, we gain clarity in what resources and gaps and services exist.
Program Innovation and Expansion
In 2022, we opened an 11,000 square-foot center located in Chicago’s Englewood neighborhood. While the goal for the facility was to become the flagship site for Cleanslate, our external beautification social enterprise, we immediately saw the potential for more. After one year in the community, we saw a 60% increase in Englewood residents engaging with our programs and a 30% increase in residents accessing our programming. Leading us to recognize the incredible power of proximity and community. In direct response to this increased interest and the unique needs of job seekers in this community, we launched our Cara Accelerator Program, which is facilitated out of our Englewood center, and we seek to expand the types and amounts of support we can provide directly within a community where or near where many of our participants live. We are in the early stages of a campaign to expand our presence in Englewood.
At each stage of our growth or program enhancement, we aim to be driven by direct feedback and input by our participants and community. We recognize the importance of remaining nimble and not remaining stagnant as needs change. This is critical for us when thinking about our participant experience, and also the experience of our corporate partners, many of whom employ our participants. Remaining responsive to the needs of employers and the workforce will be of utmost importance to ensure jobs for our participants.</t>
  </si>
  <si>
    <t>Cara has a history of collaboration to develop innovative programs and to maximize support and outcomes for our participants. We recognize that we cannot do this work alone and are committed to partnering with social service agencies, training providers, employers, other workforce development organizations, and more. We are actively growing our partnerships across the board and see this growth as an area of opportunity to have a greater impact on individuals and communities.
Community-Based Resource Support Partners
While Cara provides some supportive elements in-house including transportation (bus cards), mental health support, financial coaching, and others, there are many services that fall outside of our scope and ability to provide. In these instances, we have partnerships with more than 25 organizations across the city who our staff can refer participants to. These include organizations such as Cabrini Green Legal Aid, The Emergency Fund, and Chicago Furniture Bank. Our ability to partner with these organizations not only provides necessary support for our participants, but supports capacity building and name recognition for the organizations we refer to. We generally seek partnerships with organizations to refer participants to based on the services they provide and proximity to where participants live. Community-based organizations also refer job seekers to participate in our program.
Employment Partners
With over 70 employment partners, we aim to have a diverse set of employment opportunities to match the diversity of candidates who enter our programs. Our employment services team works with employers to understand their needs and to provide support to Cara participants throughout the interview process and while they are on the job for one year. This provides us with an opportunity to provide feedback to the employer and employee on what is working or areas for improvement. Some of our key employment partners include organizations such as BMO, CTA, Advocate Aurora Health, and Freedman Seating Company. We seek to continuously develop new partnerships and strengthen current partnerships to promote positive outcomes related to job hiring and retention. More recently, we are also working to gain more commitments from employers to hire our talent, helping us to ensure jobs are available for Cara participants following program completion.
Training Partners
Cara has begun offering more training and certification opportunities to participants. Based on survey responses, we learned that participants were interested in Forklift, Hospitality, Construction, Occupational Safety and Health Administration (OSHA), Solar, and Carpentry. To date, we have worked with training partners including Jane Adams Resource Corporation (JARC), City Community Colleges Chicago (CCC), Growing Home, OAI, Greater Chicago Food Depository, HIRE 360, Lumity, Rebuild exchange, and Rosie Construction. We seek to refine and strengthen these partnerships to provide clearer pathways to careers for our participants.
Continuous Learning Community
Cara has relationships with other workforce development organizations in the Chicagoland area and beyond and is a member of various collaboratives and groups that gather to enhance the workforce development ecosystem as well as employer practice change. One example of our involvement is through a local workforce development community known as the Community Based Organization Collective (CBOC), where we work with non-profit organizations and employers to increase jobs for historically untapped talent. By working in tandem with these organizations Cara is improving economic mobility across Illinois for under- and unemployed individuals. We also work with other organizations (non-profits and companies) through our expansion arm, Cara Plus, where we leverage our expertise of working with thousands of job seekers and employers over our 30+ year history to advance our vision of removing barriers to employment by promoting inclusive hiring strategies and better supporting job seekers.</t>
  </si>
  <si>
    <t>Cara Collective centers our work around the individuals and communities we serve by taking an antiracist approach in all we do: in our program design, representation in our staff and leadership, partnerships we choose to enter, and our external and internal communications and policies. Our executive team (including our CEO) is 33% Black/African American, including our CEO and Chief Impact Officer (CPO), 50% identify as a person of color, and 67% women. Our leadership brings a diverse background in both skills and lived experience. Specifically, our CIO was born and raised in a community on the South Side of Chicago where similar conditions like those our participants face were more likely to be present. Separately, 30% of our staff throughout the organization are former participants of our program. This includes staff at levels from entry level roles, operations, coaches, trainers, managers, and directors. Our staff consists of team members who have either direct or tangential lived experience or who may have experience working within those areas and with individuals who live in those areas or who face similar challenges. 
In 2022, we established an equity statement that guides our work. 
Equity Statement 
Racism and white supremacy culture are pervasive in society and influence us all. To ensure that we are centering our work around the individuals and communities we serve, Cara Collective commits to taking an antiracist approach in all we do: in our program design, representation in our staff, partnerships we choose to enter, and our external and internal communications and policies. We leverage our individuality and differences as a way of deepening community and expanding opportunity in and around our organization.
In alignment with our Racial Equity Statement, Cara Collective is dedicated to adopting an antiracist approach across all dimensions of our work. This commitment involves a critical examination and dismantling of racial inequities present in our practices, policies, and partnerships. Our approach is guided by three primary goals:
Strengthening Organizational Practices: We aim to build upon our equity platform to define and unify organizational practices that reflect our commitment to racial equity. This includes integrating DEI principles into all aspects of our operations and ensuring that our organizational culture supports and advances equity for all stakeholders.
Enhancing Internal Hiring and Advancement: We are focused on increasing intentionality in our internal hiring processes and career advancement opportunities for staff, particularly in key identity areas. This involves creating pathways for underrepresented individuals to grow within the organization and ensuring that our hiring practices are equitable and inclusive.
Rooting Equity in External Partnerships: We are committed to embedding our racial equity platform into all our external partnerships. This means evaluating and selecting partners who share our commitment to racial equity and working collaboratively to address systemic barriers and advance equity in the communities we serve.</t>
  </si>
  <si>
    <t>Our project and organization works to shift perspectives of not only job seekers, but also employers to help eradicate poverty and create access to gainful employment.
Job Seekers
Workforce development training programs often focus on hard skill training, upskilling opportunities, on-the job training, etc. Cara Collective’s approach also includes personal training, aimed at addressing some of the root causes of past missteps or misfortunes. Cara participants are motivated and have often been affected by poverty and the challenges of recovery from substance abuse, domestic violence, and incarceration, and they are ready to lift themselves, and their families, up through the transformative power of a job. Our curriculum places an emphasis on personal development and includes targeted workshops to combat the stories participants tell themselves or have been told that may limit their perception of what’s possible for their lives. One participant who had a misstep that led to incarceration found Cara’s program and shared “The work I put into Cara has manifested into a job at the Chicago Transit Authority.  It has manifested into getting my life together. It has manifested into a savings account. It has manifested into being a great father again.”
Employers
Cara Collective works with employers both locally in Chicago as well as nationally. Through our expansion arm, Cara Plus, we work to affect practice change to strengthen workforce development programs across the nation as well as employer change. We know that access to jobs and opportunity is not equitably distributed and that there is an incredible talent pool that is often overlooked due to employers with inflated degree and credential requirements, systemic barriers, and talent practices that are not informed by the needs of employees. 
Through our inclusive employment efforts, we offer a human-centered approach to practice change, by leveraging untapped talent’s experience to inform employer solutions. We do this through multiple channel including 1. support for workforce development practitioners to build capacity and effectively engage employers, 2. Employer capacity building through cohorts and one-on-one engagements, and 3. National thought leadership.
Specifically, through our employer capacity building initiatives, we have supports that help business leaders hire and support young adults of colors and also to hire and support justice-involved individuals. We work with companies based on where they are and whether they do not realize their processes are preventing them from maximizing their hiring potential, they are aware of the challenges they face with attracting untapped talent but are unsure where to start, or they are invested in making a change and need support with launching a measurable pilot. We have worked with more than 40 companies with over 80% of them implementing shifts in their employment practices.
We also engage in thought leadership through written pieces, conferences, podcasts, industry roundtables, and more. In 2024, we launched our Make the Case campaign, where we are telling the stories of how leading employers leveraged untapped talent to solve critical business needs while transforming lives and communities in the process. We have been releasing new case studies that dive into companies’ inclusive employment journeys, and hopefully serve as a blueprint for others to do the same. Some topics covered so far in these studies include the case for skills-based hiring; fair chance hiring; and frontline worker support. Read more about our cases here: https://caracollective.org/case/</t>
  </si>
  <si>
    <t>Cara Collective’s executive team and board of directors regularly plan and monitor the organization’s annual budget planning and sustainability. Every year, Cara completes a budgeting process to assess programmatic and staff needs as compared to anticipated revenue. Cara has diverse revenue streams composed of private philanthropy (46% of total revenue), social enterprise revenue (41%), and government funding (13%). In addition to the fundraising activity of our Development team and CEO, we work with our Board of Directors and community members, who help us identify and cultivate new revenue sources for sustainable funding. We closely monitor our financials and cash position and, historically, have been able to generate additional funds through private philanthropy and social enterprise revenue when one source is reduced. We anticipate doing the same going forward. Over the past year, Cara has received two of the largest contributions in its history in fall 2023, a $4.25 million grant to support job placement for returning citizens and a historic $8 million investment from philanthropist MacKenzie Scott. The $8 million investment is a one-time, unrestricted donation that we have strategically allocated to support overall sustainability for the organization as well as to support innovation and sustainable growth opportunities such as our expansion into Englewood.</t>
  </si>
  <si>
    <t>FY25 donors to date (FY start June 2024)
- McCormick Foundation $400,000
- The Chicago Community Trust - $200,000
- US Bank - $50,000</t>
  </si>
  <si>
    <t>FY25 anticipated donors
- The Owens Foundation - $255,000
- JPMorgan Chase - $250,000
- Paul M. Angell Foundation - $90,000</t>
  </si>
  <si>
    <t>Cara Collective does not currently recruit a target age group. In our most recently completed fiscal year, majority of our participants were between the ages of 20 – 59.</t>
  </si>
  <si>
    <t>https://www.jotform.com/uploads/Sol_Flores_sflores/242752736237461/6048389254511339050/FY25%20Cara%20Collective%20Enterprise%20Budget.pdf
https://www.jotform.com/uploads/Sol_Flores_sflores/242752736237461/6048389254511339050/TCP%20501%28c%293%20Letter%202011-01-25.pdf
https://www.jotform.com/uploads/Sol_Flores_sflores/242752736237461/6048389254511339050/FY25%20Cara%20Board%20of%20Directors_0924.pdf
https://www.jotform.com/uploads/Sol_Flores_sflores/242752736237461/6048389254511339050/Cara%20FS_2023%20Final.pdf
https://www.jotform.com/uploads/Sol_Flores_sflores/242752736237461/6048389254511339050/Cara%20Collective%20Executive%20Team.pdf</t>
  </si>
  <si>
    <t>https://www.jotform.com/uploads/Sol_Flores_sflores/242752736237461/6048389254511339050/Cara%20Collective%20Additional%20Attachments.pdf</t>
  </si>
  <si>
    <t>kyle.friedler@nourishinghopechi.org</t>
  </si>
  <si>
    <t>Nourishing Hope</t>
  </si>
  <si>
    <t>36-2734184</t>
  </si>
  <si>
    <t>1716 W. Hubbard St.</t>
  </si>
  <si>
    <t>--</t>
  </si>
  <si>
    <t>https://www.nourishinghopechi.org/</t>
  </si>
  <si>
    <t>Drew</t>
  </si>
  <si>
    <t>Moran</t>
  </si>
  <si>
    <t>drew.moran@nourishinghopechi.org</t>
  </si>
  <si>
    <t>217-454-8689</t>
  </si>
  <si>
    <t>Kyle</t>
  </si>
  <si>
    <t>Friedler</t>
  </si>
  <si>
    <t>Senior Institutional Partnerships Associate</t>
  </si>
  <si>
    <t>773-550-2975</t>
  </si>
  <si>
    <t>1970</t>
  </si>
  <si>
    <t>6700</t>
  </si>
  <si>
    <t>Staff:
Black/African: 12%
Hispanic, Latino, Latinx, or Spanish origin: 27%
Middle Eastern: 2%
Two or more racial identities: 8%
White: 51%
Men: 36%
Women: 58%
Non-binary: 7%
Board:
American Indian: 5%
Black/African: 18%
White: 59%
Asian: 9%
Hispanic, Latino, Latinx, or Spanish origin: 5%
Did not respond: 5%
Men: 50%
Women: 45%
No answer: 5%</t>
  </si>
  <si>
    <t>Our mission is Nourishing Hope through food, mental health and social services so that all of our neighbors can thrive. 
Our vision is a city where all people have the resources needed for a dignified life.</t>
  </si>
  <si>
    <t>Apr 1, 2024</t>
  </si>
  <si>
    <t>Mar 31, 2025</t>
  </si>
  <si>
    <t>Nourishing Hope provides over 200,000 food, mental health, and social services to our neighbors each year. We meet fundamental needs with dignity and respect to help our neighbors thrive. Through our five-year strategic plan, we prioritize serving people disproportionately affected by food-insecurity.  Our expansion in the coming years will focus on building trusted connections with those in vulnerable states of transition and in historically marginalized communities. To keep barriers as low as possible, we only ask that clients self-identify they are at or below the federal requirements to receive Emergency Food Assistance. 
We serve people across the city through the programs outlined below:
In Person Markets: Our in-person pantries provide nutritious food for our neighbors at two locations. The Sheridan Market, located conveniently next to the Sheridan Red Line station provided food for over 52,000 visitors in our most recent fiscal year. Our second pantry, El Mercadito, is located in Humboldt Park. The partnership between Nourishing Hope and La Casa Norte served over 18,000 visitors last year. Each pantry offers a market-like experience where clients can shop for items that most fit their preferences. Giving our clients a choice in their groceries empowers them and creates healthier outcomes. To increase the accessibility for people who may have time constraints, we also offer express pick-up. 
Online Market: Nourishing Hope’s most innovative program, the Online Market, is Chicago’s first and only online food pantry service. The Online Market enables our clients to quickly and conveniently pre-order free groceries each month using any device with internet access. Users have many food options to choose from – including frozen meats, canned goods, dairy products, and fresh produce – and most items are accompanied by a photo for easy ordering and to reduce language barriers. After choosing their groceries, they can select a convenient time and place to pick them up. If they would like, users can also request a social services appointment with Nourishing Hope as they complete their order. The Online Market enables households in our community to access groceries in a new way. Through the platform, working families, and other clients stretched for time, have a new ability to access our services. Since the program’s inception in 2019, we have completed over 85,000 orders for our neighbors. 
Home Delivery: Last fiscal year, we delivered over 10,000 Home Delivery orders to older adults and people with disabilities across Chicago. Once enrolled, Home Delivery participants – many of whom prefer to communicate by telephone instead of email – receive a phone call from Nourishing Hope each month to confirm their grocery delivery for the following week and select the menu they would like to receive. The Home Delivery program is another example of our commitment to healthier outcomes. We offer a vegetarian option, and our regular menu includes low-sugar and low-sodium foods that combat diabetes or high blood pressure. In special cases, we offer a ready-to-eat menu for folks with more restrictive dietary needs or specific health problems.
Health and Hope: Nourishing Hope started Health and Hope, a pioneering service that provides groceries directly to hospital patients facing hunger, in 2017. The initiative was launched in the oncology department at Advocate Illinois Masonic Medical Center in the Lakeview neighborhood. After being screened for food insecurity, eligible cancer patients were offered shelf-stable groceries when checking out of the hospital to ensure that they had plenty of food to eat when they returned home. Health and Hope has grown to partner with other local organizations, and it delivered 60% more groceries in the past fiscal year than the year before. 
Case Management: Nourishing Hope stands at the ready, prepared to help our neighbors overcome a variety of barriers through our knowledgeable social services case management. We have two full-time care coordinators and one full-time housing case manager who use their strong skills and experience to help clients navigate challenges related to housing, financial assistance, employment support, healthcare, public benefits access, and services for families and children. In the past fiscal year, we provided almost 3,300 case management services for our neighbors. 
Mental Wellness: Our growing mental wellness team is well-equipped to help people struggling with a wide variety of mental health conditions and challenges. We have six full-time, licensed clinical therapists and a rotating class of graduate-level student interns on our team. We offer therapy in English and Spanish, and each of our team members has expertise in different types of counseling. We provided over 3,000 completely free therapy sessions last fiscal year. As part of Chicago’s network of trauma-informed centers of care, we provide private, in-person services at Sheridan Market in Lakeview, El Mercadito in Humboldt Park, our Headquarters in West Town, and virtually through a HIPAA-compliant platform. Using a trauma-informed lens, we center our mental health care on each individual’s needs and goals.</t>
  </si>
  <si>
    <t>200,000</t>
  </si>
  <si>
    <t>In the short-term, we provide basic needs to increase the health of our neighbors. We meet people where they already are and tailor our programs to prioritize people living in historically under-resourced communities or in vulnerable states of transition. 
Nourishing Hope tracks and reports on the number of households and individuals served, the services we provide, the amount of food we provide, and the number of social services or referrals we provide. These metrics help us evaluate our success at meeting the needs of our neighbors. Food gives a necessary baseline for people to survive and thrive. The integration with our case management and mental wellness services demonstrates our holistic approach to food insecurity. 
Our mental wellness team also employs a comprehensive approach to track the progress and effectiveness of our services. We use the DSM-5 Cross-Cutting Measure and the Recovery Assessment Scale, sophisticated tools that offer a nuanced understanding of each client's progress. Along with client attendance rates, the data from these measures help us gauge the success of our therapists over time and enable us to fine-tune our interventions to meet the full spectrum of our clients’ needs more effectively.
Nourishing Hope focuses on fulfilling basic needs and offering comprehensive services to foster healthier bodies and minds across Chicago. As a frontline, hunger-relief organization, distributing food to our community is a primary outcome. We have set the following goals for our current fiscal year:
Provide food for 88,000 visits to our food programs
Provide 7,250 social services including
4,000 case management services
3,250 mental wellness services
Acquire 5.5 million pounds of food for distribution
Leverage 85,000 volunteer hours
With support from Knight Impact Partners, we are confident in our ability to rise and meet the growing need for our programs. For this fiscal year, we have set a goal to provide 3,250 Mental Wellness services alongside almost 200,000 food services.
We constantly measure our progress throughout the year, and we provide official reports each quarter to effectively gauge our progress against our annual goals. As part of our new strategic plan, we are also developing a schedule to track progress against our long term goals. Nourishing Hope also engages with the qualitative feedback from our community to help identify gaps in our programming. Our partnerships with other community-based organizations create more open communication channels between our organizations and the specific neighbors we serve. For example, we have adapted our Home Delivery menus over the years to further support neighbors dealing with chronic health conditions like high blood pressure and diabetes based on feedback from several Home Delivery partners. Our Mental Wellness Program also directly grew out of the feedback from our community about the challenges they faced. With many of our neighbors waiting more than six months on a waitlist to receive therapy, we began offering our own clinical therapy services. 
To align with our mission, we also complete a quarterly nutrition review in each of our food programs. These reviews help ensure we provide the highest quality groceries to our neighbors while maintaining our priority to the health of our neighbors. 
Ultimately, Nourishing Hope helps people achieve stability so they can move forward with agency and independence. By providing community infrastructure to collaboratively support clients, we are improving the overall health and wellness for families and communities. 
Finally, Nourishing Hope regularly interviews our neighbors to understand the impact of our programs as well as share their stories with our network. In a recent interview, Daniela mentioned, “This has helped my family tremendously. You took on expenses (for food) that we could put toward college and books and that has helped us so much.” Daniela orders food from our Online Market, a program designed for working families to conveniently access food amidst busy schedules. Her story, as a wife and mother running errands throughout the day while attending nursing school at night, is a testament to the success of our Online Market Program.</t>
  </si>
  <si>
    <t>Nourishing Hope is led by CEO Kellie O’Connell. Since joining the organization in 2016, she has expanded the strategic vision of the organization to serve more people in communities across the city. Through her leadership, the organization has expanded its food storage and distribution capacities, launched a new online market program, grown its mental health and social service programs, and collaborated with a growing number of partners all across the city.
Kellie believes in civic duty and collaboration. She has been a Leadership Greater Chicago Fellow since 2020. She is also a member of the Economic Club of Chicago, a board member for Guitars Over Guns, and a member of the Chicago Food Equity Council’s food and nutrition programs work group. Prior to joining Nourishing Hope, she was the Director of Advancement at Northwestern Settlement House, Chief External Affairs Officer at After School Matters, and the Senior Vice President, Strategic Planning and Public Affairs at the Chicago Housing Authority. Kellie’s experience managing large-scale projects in her previous roles has guided Nourishing Hope’s vision to expand our services citywide and significantly grow the organization’s size throughout the past 8 years. 
Nourishing Hope’s Chief Program Officer, Jennie Hull is an integral part of managing our program staff and volunteer department. In her tenure at Nourishing Hope, which has spanned 7 years in total, Jennie has been a guiding force as the organization has evolved into a dynamic social services organization serving the whole city of Chicago. 
Jennie oversees all client-facing programs at Nourishing Hope. She has led her growing team of roughly 30 direct reports through tumultuous times of pandemic, economic recession, and social unrest — all while expanding food and social services for people in need. 
As a licensed clinical professional counselor, Jennie launched Nourishing Hope’s mental wellness counseling program in 2017. This groundbreaking work has made mental health counseling more accessible to people who turn to us for food. In regard to food, Jennie has worked to expand Nourishing Hope’s program offerings and community partnerships in order to reduce barriers — and, ultimately, serve more people in need. In 2019, she launched the first-of-its-kind online market, an innovative program that allows people to order food online for pickup. Her expertise as a therapist has influenced the growth of our Mental Wellness Program and the continued integration of our social services with our food services. Jennie continues to oversee a small therapy caseload on top of providing clinical supervision for our Mental Wellness team.
Jennie is a proud member of the 2024 Leadership Greater Chicago class of fellows. She earned her bachelor of science degree at Ohio State University, and her master’s degree in clinical counseling at The Chicago School. 
Leading our warehouse operations and logistics teams, Carolyn Kriss joined the Nourishing Hope team earlier this year. Carolyn began her career in the food industry at Starbucks where she led the $550 million hot tea business and strategy for the Starbucks College Achievement Plan, which pays for employees to go to college. She scaled growth stage tech startups as a general manager at DoorDash (food delivery) and Capsule (prescription delivery). Most recently, she served as VP of Strategy at meal delivery subscription startup, Tovala, where she led the data and customer insights functions and created fundraising materials resulting in a $30 million equity investment. 
Before working in business, Carolyn was one of the first 200 staff to join President Barack Obama’s 2008 campaign and served in the Administration as a Special Assistant to the head of the US Department of Health and Human Services Administration for Children and Families, a $50 billion agency that runs Head Start, Childcare, Child Support, TANF, refugee resettlement, and more. A Chicagoland native, Carolyn holds a MBA from the University of Chicago Booth School of Business and a BA from Yale. Carolyn’s strategic background will provide invaluable guidance for Nourishing Hope as we begin to maximize the efficiency of our growing logistics and operations teams. 
Omar Román serves as Nourishing Hope’s Senior Bilingual Pantry Coordinator. Omar joined Nourishing Hope in May of 2021 and serves as the senior bilingual pantry coordinator at El Mercadito and at Sheridan Market. 
Natia Barnett serves as Nourishing Hope’s Program Expansion Manager. Natia joined Nourishing Hope in February 2022 as the organization’s first Program Expansion Manager. She joined from her own nonprofit, Village Minds, which she started in 2020 to support low-income families in the wake of the pandemic and civil unrest in communities that were already struggling. Natia’s relationship with Nourishing Hope began when her organization was introduced via a Pantry board member, which resulted in the Pantry supplying much-needed produce and dry goods that Natia and Village Minds volunteers delivered across the city every Saturday. Natia, a Nourishing Hope Feeding Hope Honoree in 2021, jumped at the opportunity to join the Nourishing Hope family as a full-time employee. 
Lastly, Marina Silva serves as Nourishing Hope’s Bilingual Clinical Therapist Marina and holds a master’s degree in social work with a concentration in mental health from Loyola University Chicago and a bachelor’s degree in psychology and French from Coe College. Prior to joining Nourishing Hope in June 2021, Marina provided individual therapy for adults as a masters level counseling intern at the Chicago Women’s Health Center. Her clinical interests include exploring life changes, working with queer, trans and gender non-conforming individuals, and prioritizing mental health for communities of color.</t>
  </si>
  <si>
    <t>Nourishing Hope is a community-based organization. We provide completely free, trauma-informed mental health care and social services that center client experiences. As part of our strategic planning process, we recently conducted a client survey. The results helped shape the direction of our organization for the next several years, and we plan to continue regularly surveying clients to best respond to their needs. 
Our partners are also integral in providing community feedback so we can best adapt our programs to serve the needs of our neighbors. We prioritize sharing food with clients where they are – including in their schools, hospitals, and homes. We engage with trusted, community-based organizations, especially on the South and West sides, so we can provide food alongside the other services they offer to their neighbors. We work intentionally to add value to the work of others, not to replicate services currently available.
Partnering with other local organizations opens new communication channels between our staff and the people we serve. Partners are able to share the specific needs of their community, and we can adapt our programming to best fit each organization. For example, we began a partnership with the South Side YMCA this year where we coordinated our Online Market pickup window with their daycare pickup window. Doing so, families enrolled in the program could conveniently receive our Online Market services instead of having to navigate additional hurdles to access food.
As we move forward, we are specifically targeting new partners in areas with the greatest need for food security. Building new relationships in these underserved communities will help ensure we continue to advance equitable access to our programs.</t>
  </si>
  <si>
    <t>We prioritize sharing food with our neighbors where they are – including in their schools, hospitals, and homes. Engaging with trusted, community-based organizations, especially on the South and West sides, we can provide food alongside the other services they offer to their neighbors. We work intentionally to add value to the work of others, not to replicate services currently available. 
We have cultivated 34 food partnerships throughout the city of Chicago, including Health &amp; Hope partners serving food insecure patients, Home Delivery partners who facilitate deliveries to residents, and Online Market partners who offer pickup locations. Through these partnerships, we are better able to address the root causes of hunger and create healthier communities.
Our Online Market partners with local schools and social services agencies to meet clients where they already are. The program offers grocery pickup at the following locations across the city:
Passages Charter School
North Lawndale Employment Network 
Primo Center for Women and Children 
Deborah’s Place
SGA Family Services 
Independence SDA Church 
Latinos Progresando 
South Side YMCA 
UCAN 
Bright Star Community Outreach 
Partner facilities with our Home Delivery Program will share our services with their community members and facilitate deliveries at their sites. Each of these community groups have partnered with the Home Delivery Program:
Wilson Yards
Sherway Towers
Bristol Apartments
Heiwa Terrace
Hermitage Community Garden
New Nation Anointed Ministries
G&amp;A Senior Residences
Rosenwald Apartments
Luther Terrace Apartments
Ephphatha Lutheran Church of the Deaf
Lake Vista Apartments
Southbridge Apartments
Clarendon Courts
Aside from the hospitals that provide groceries to patients in need, our Health and Hope collaborates with other organizations, offering a dynamic service to provide hope across the city. For example, Humble Design approached us because they recognized the need for food assistance among their clients. When the children and families they serve would enter their new homes, they would often look inside their kitchen cabinets as they explored their new surroundings only to find them empty. Nourishing Hope partnered with Humble Design to ensure that their kitchen cabinets have the pantry staples they need to enjoy nourishing meals as they pursue a better future. As they settle into their new homes, Nourishing Hope will be available to them if they would like to continue receiving food assistance until they are stable. Our Health and Hope/Hope in a Box program partners with these organizations:
Advocate Illinois Masonic
Swedish Hospital
UI Health
World Relief
Humble Design
Thorek
Emmaus
Cara Collective
HHPLift
Naomi’s House
On top of our Online Market, Home Delivery, and Health and Hope partnerships, our longstanding partnership with La Casa Norte enables us to continue serving the Humboldt Park and West Side community. El Mercadito, our second in-person pantry, operates within the La Casa Norte facilities. 
We are committed to collaborating with a growing number of community organizations that want to provide food alongside the other services they offer. Instead of creating more physical spaces for Nourishing Hope, we will equip other entities to directly participate in our mission. We prioritize partners in areas with high levels of food insecurity and those who are farthest from our current locations. After we train a new partner, we make adjustments to suit local needs in order for our programs to be relatively easy for our partners to co-own. The model creates more accessible service provision, and we can consistently grow our mission.</t>
  </si>
  <si>
    <t>Nourishing Hope believes in the inherent value of every human being. No matter who you are, what you look like, or where you come from, we will treat you with dignity and respect. Our organization understands that marginalized groups face additional barriers to opportunity that we must address.
Our programs address the intersecting barriers people may face accessing nutritious food and social services. Knowing that the traditional pantry model does not work for everyone, our signature programs are designed to equitably serve our neighbors. Our Online Market Program offers convenient grocery order and pickup for working families. Older adults and folks with disabilities can register for our Home Delivery Program and receive groceries delivered to their doorstep. We also offer proxy pick-ups for our neighbors to bring groceries home for their family or other neighbors who are unable to come to a pantry. At our pantries, we offer the option to choose groceries or take home a pre-packaged express box filled with the same options for people who are stretched for time. 
We take an equity-based approach when thinking about the future of our organization. We prioritize areas across Chicago that have the highest barriers to food access when initiating new partnerships. Over the next five years, over 80% of our new partnerships will be with organizations on the South and West Sides of the city to fill gaps in the hunger-relief ecosystem. 
In 2021, we enlisted a renowned local DEI consultant to survey our staff, leadership, and board members. The initiative illuminated the areas where we were doing well and the areas needing improvement. Spurred by these insights, our senior leadership team devised a DEI action plan in late 2021. A tangible outcome of this initiative was the introduction of a bonus for multilingual staff, recognizing the immense value language diversity brings to our work.
To further our progress, we began a collaboration with the DEI consultant Quarter Five, led by Myla Skinner in 2022. Myla’s engagement with Nourishing Hope led to meaningful conversations between staff that led to the creation of our organization’s core values: dignity, equity, accountability, community, sustainability, and joy. The values help people at all levels of our organization connect to the true purpose of our work.
As we expand our organization, we are continuing to ensure that our board and staff reflect the diversity of our clients. That way, we can better understand the people we serve and offer them more targeted and effective support. Nourishing Hope is a women-led organization. 58% of our staff identify as female, and an additional 7% of our staff identify as non-binary. At least 32% of Nourishing Hope staff identify as members of the LGBTQIA+ community. One of the most concrete expressions of our commitment to staff diversity is our growing number of multilingual staff as well as the year-over-year growth in the racial diversity of our staff. From April 2022 to April 2024, our nonwhite staff has grown by 12%. 
Nourishing Hope envisions a city where all people, regardless of any aspect of their identity, have the resources for a dignified life. We are dedicated to creating and maintaining an equitable workplace in which all employees have an opportunity to participate, have their voices heard, and contribute to our success. We value our employees for their skills, experiences and unique perspectives.
We work to foster an organizational culture that recognizes and celebrates people of all racial and gender identities, sexual orientation, abilities, ages and backgrounds.
Our commitment to diversity, equity, inclusion and belonging is fundamental to our goal of providing food for today and hope for tomorrow.
This is a journey without end. We vow to keep learning.</t>
  </si>
  <si>
    <t>Recognizing the additional challenges many of our neighbors faced, Nourishing Hope’s Mental Wellness and Case Management programs are central to addressing the root causes of food insecurity. Our robust services support clients as they apply for jobs, find stable housing, or overcome mental health challenges. Offering a wider range of services helps stabilize our neighbors so they can move forward with more agency and independence. Offering a non-traditional access point for these wraparound services enables more of our neighbors to use resources that may have been previously unavailable. 
In addition to being one of the only hunger-relief organizations to offer mental health and case management services, Nourishing Hope takes an innovative approach to our food programs. We launched the first and only online food pantry service in the City of Chicago in 2019. Our Home Delivery Program was the first of its kind in Chicago when we began delivering groceries to our neighbors’ doorsteps in 1989. Innovative service delivery is at the forefront of our mission because of our commitment to serving the whole person. 
Nourishing Hope is committed to holistically addressing food insecurity, providing food in conjunction with mental health and social services. The uniqueness of our model has received attention both locally and across the world. We have been approached by outside agencies such as the Los Angeles Food Bank (California), Deerfield Beach Community Cares (Florida), Clark County Food Bank (Oregon), Enoch Pratt Library Pantry (Maryland), and the University of Birmingham (UK) to share our approach and expertise in the hunger-relief space.
Knowing that food insecurity does not exist in a vacuum, we connect our neighbors with a full range of resources through our wraparound programming. Our clients may not even know what type of support they need upon first entering a pantry, but our case managers build relationships with them to identify additional resources we can provide. Integrating food programs with social and mental health services is a systems-level approach to hunger relief.
In a recent interview with Nourishing Hope, Cassie underscored the importance of our Mental Wellness Program. “Mental health services are very expensive, so I honestly don’t think I would’ve reached out at all if it wasn’t available for free [at Nourishing Hope],” she said. As she struggled with severe anxiety after health issues caused by her pregnancy, Cassie found food for today and hope for tomorrow at Nourishing Hope. She credited her counselor at Nourishing Hope for saving her life during one of the most difficult periods of her life, ultimately restoring her sense of well-being and enabling her to thrive. Her story exemplifies how our programs support individuals and communities. She mentioned later, “Not only is it beneficial to people in my direct household, I have, now, the capacity to help other people.”</t>
  </si>
  <si>
    <t>Nourishing Hope is confident in our ability to remain a financially stable organization. With longstanding roots in our community, we have a strong individual donor base that supports roughly 41% of our annual revenue. Our corporate and foundation partners provide around 26% of our revenue, and 13% of our funding this year comes from government grants. We host several events each year including an annual gala, which raised over $1 million this year, and a spring fundraiser called the End Hunger Social. Combined with our peer-to-peer fundraising efforts, including a Bank of America Chicago Marathon Team of 35 runners, our events contribute about 15% of our revenue.
In the past year, Nourishing Hope has taken two measures to continue diversifying our revenue sources to support our long term strategic goals. This includes identifying earned income opportunities. To that end, we began billing Medicaid for our therapy services while keeping them completely free for our clients. Secondly, we have grown our investment portfolio to generate some additional revenue this fiscal year. 
We maintain roughly six months of cash reserves on hand in a Max Safe account. As part of our strategic plan, we are also initiating a sustainable development model to grow our revenue by 5% each year over the next five years.</t>
  </si>
  <si>
    <t>Northern Trust - $79,863 (part of $1 million over 3 years)
IMC - $100,000 
VNA Foundation - $65,000</t>
  </si>
  <si>
    <t>Grubhub - $307,000 ($607,000 over 2 years)
Northern Trust - $126,000 (remaining funding for FY25)
Thierer Family Foundation - $20,000 (largest Corporate/Foundation FY25 pledge outstanding)</t>
  </si>
  <si>
    <t>We serve all age groups through our programs</t>
  </si>
  <si>
    <t>https://www.jotform.com/uploads/Sol_Flores_sflores/242752736237461/6048372708668718783/Nourishing%20Hope%20Board%20of%20Directors%20FY25.pdf
https://www.jotform.com/uploads/Sol_Flores_sflores/242752736237461/6048372708668718783/Nourishing%20Hope%20FY25%20Budget.pdf
https://www.jotform.com/uploads/Sol_Flores_sflores/242752736237461/6048372708668718783/Nourishing%20Hope%20IRS%20501%28c%293%20Letter.pdf
https://www.jotform.com/uploads/Sol_Flores_sflores/242752736237461/6048372708668718783/Nourishing-Hope-990-FY23.pdf
https://www.jotform.com/uploads/Sol_Flores_sflores/242752736237461/6048372708668718783/Nourishing-Hope-Audit-with-No-SEFA-2023-Final.pdf
https://www.jotform.com/uploads/Sol_Flores_sflores/242752736237461/6048372708668718783/Nourishing%20Hope%20Key%20Staff.docx</t>
  </si>
  <si>
    <t>https://www.jotform.com/uploads/Sol_Flores_sflores/242752736237461/6048372708668718783/Nourishing-Hope-Strategic-Plan.pdf
https://www.jotform.com/uploads/Sol_Flores_sflores/242752736237461/6048372708668718783/Nourishing%20Hope%20Theory%20of%20Change.pdf</t>
  </si>
  <si>
    <t>Oct 11, 2024</t>
  </si>
  <si>
    <t>Little Village / South Lawndale</t>
  </si>
  <si>
    <t>Community engagement is foundational to everything we do. As a trusted, immigrant-led organization, we are deeply embedded in the communities we serve—our staff and leadership reflect the lived experiences of our participants, and our programs are designed in direct response to their needs, voices, and aspirations.
We engage the community through intentional, ongoing, and multi-directional communication, creating spaces for trust, listening, and shared leadership. Our outreach efforts go beyond information sharing; they foster relationships through school partnerships, community health events, neighborhood canvassing, and direct participation in coalitions. We meet families where they are—at their schools, homes, workplaces, and community hubs—ensuring accessibility and cultural relevance.
Community feedback is not only welcomed but structurally built into our program cycles. We collect formal and informal input through surveys, focus groups, one-on-one conversations, and post-program evaluations. This feedback directly informs our program design, resource allocation, and service delivery. For example, when parents shared the need for more holistic health education, we expanded our nutrition and mental wellness programming through our Healthy Families program. Similarly, community demand for digital skills and ESL classes led to the expansion of our Productive Parents program.
Our leadership and staff view community members as our guiding light, not just recipients of services. By embedding continuous feedback City-Wides, building authentic relationships, and hiring from within the community, Mano a Mano ensures that programs are responsive, rooted in trust, and capable of advancing real, lasting impact.</t>
  </si>
  <si>
    <t>In 1994, a group of compassionate community leaders convened to address the burgeoning crisis of homelessness in Chicago. They prioritized the needs of people arriving at warming centers with acute illness and/or injury. Many of these people had been discharged from local hospitals or clinics with diagnoses but had nowhere to go and few resources to recover.
The Boulevard was founded to address this unmet need within the growing number of people experiencing homelessness. Over time, programs were established to provide interim housing and meals, support services, medical and behavioral health assistance, individualized counseling, and case management support. 
Today, The Boulevard is among the most respected and trusted safety net organizations in Chicago serving individuals and families who experience significant hardships that cause homelessness including but not limited to health crises, lack of insurance, and loss of employment, insurance, and property. Our nationally recognized program integrates shelter, educational programs, therapeutic and peer support, housing advocacy, navigation support, transportation, and other services to overcome homelessness and regain stability and strength.  
The Boulevard’s mission and core services align and support the Knight Impact Partners pillars of human service and ending poverty (and homelessness) through implementation of the core programs, Medical Respite and Housing &amp; Health Outreach: 
Medical Respite is at the center of the Boulevard’s operations. The Boulevard provides specialized shelter care and supportive services to medically vulnerable individuals (adults aged 18 and above). The Boulevard is a 64-bed low barrier setting, accepting clients who may be struggling with long term effects of substance dependence, traumatic insults, domestic violence, and chronic disease. Our facility provides medical respite care 24 hours per day and 365 days per year. The Boulevard is configured to shelter up to 49 male clients in nine (9) dormitory rooms with 5-7 beds per room; and up to 15 female clients in three (3) dormitory rooms and five (5) beds per room. All residents have access to shared bathrooms. When isolation is required for infection control or to manage safety concerns, two rooms and ADA-accessible bathrooms are converted for private use. 
During the intake visit, clients are assessed for health-related social needs. Most describe loss of income, loss of employment and/or lack of insurance as the cause of homelessness. The medical reason for the initial referral is also verified upon intake. Typically, clients are referred by a local health care provider to ensure full recovery from the acute illness/injury that precipitated a hospital stay. For most clients (76%), health status is complicated due to secondary diagnoses of chronic disease, mental illness, and/or substance dependence. Approximately 20% of residential clients are people living with HIV and 17% are veterans affected by war trauma. Given that The Boulevard’s residential clients have complex medical and social needs, the quality and safety of care are paramount. For this reason, and in alignment with new standards for medical respite care locally and nationally, The Boulevard’s services are designed to be person-centered, and trauma informed. The care pathway is conceptualized as full circle, from intake to recovery to exit to stable and permanent housing.    
Residents remain in care at The Boulevard for an average of 140 days. As they recover, residents are actively involved in year-round volunteer activities including but not limited to maintenance, planting, and harvesting of our 6-bed community garden, health education (e.g., AA groups, nutrition programs), and special event planning. Residents who express an interest in volunteerism indicate their skills and interests in a written application (with literacy assistance if needed). Areas of interest for volunteerism are language translation, organizing in-kind donations, tour guide, kitchen/food prep, library assistance, admin duties, leading education, hosting activities, grounds work, building maintenance, web support, communications, photography, special events, and other. 
The Boulevard’s medical respite program is managed by a team of leaders with extensive experience in health care, mental health care, and residential care for high risk, high need populations. They are proud to guide and support the efforts of front-line staff who deliver the service to 64 clients every day. Three onsite Case Managers are the skilled “connectors” who provide case management services to residents year-round. The Business/Intake Liaison meets with referring partner organizations to conduct initial screening assessment and intake process for every client. The Transportation Coordinator transports clients to/from appointments, maintains the fleet, and manages related inventory. Three Dietary Services Assistants are responsible for food preparation and daily meal service in keeping with sanitation/health department regulations; and coordinates the Chicago Food Depository to secure high quality food stock. Three Environmental Services Assistants maintain comfort within the facility in keeping with health, safety and sanitation regulations and municipal codes. Nine Resident Care Assistants provide direct support to residents to meet daily living needs including mobility, showering and bathroom assistance (as needed), special accommodation/privacy arrangements, monitoring client safety, medication management assistance, conflict resolution, and more.  
Housing &amp; Health Programs are designed to support households to achieve housing stability and sustain independent living in the community. Ten Case Managers support established caseloads of clients to identify needs and overcome obstacles to stable housing. Case Managers coordinate with the Housing Advocate to identify appropriate housing options, educate landlords and clients to prepare for successful transition to housing, and coach clients to gather and submit necessary documents to qualify. Services are personalized to meet each client’s unique needs. Case Managers help those who can work to identify their skills and interests. They link clients to job placement resources, educate them in job readiness, assist them in getting necessary credentials and documentation, and help to prepare for interviews. For others, Case Managers may determine eligibility for and facilitate enrollment in public benefits programs. Case Managers also coordinate services to build emotional strength by referring clients to community mental health services. In the coming year, Case Managers will also link clients to Medicaid-eligible mental health support via our Behavioral Health Center. Case Managers support clients enrolled in four programs to achieve their housing, health, and lifelong goals:
- The Flexible Housing Program (FHP), administered by the Center for Health and Housing, was launched by the City of Chicago in 2019 through a public-private partnership. FHP is a supportive housing program that seeks to house clients who are high utilizers of hospital emergency rooms, jail systems, and shelters who also experience homelessness. 
- The Rapid Re-Housing Program serves housing-insecure individuals and their families. Case Managers assist with all pre-tenancy needs, provide support for transportation and household items to establish a livable home; and offer information and referral services as well as support to schedule and complete appointments with appropriate medical, mental health, and community services. 
- The Samaritan and Housing for People with AIDS (HOPWA) Programs currently serve individuals living with HIV, providing fast track housing advocacy, referrals, and ongoing advocacy and support to maintain health and safe and affordable housing. 
- Lake Street Studios, a free-standing residential building in Chicago’s West City-Wide managed by The Interfaith Housing Development Corporation, partners with The Boulevard to house 54 adults at any given time throughout the year. The Boulevard embeds a dedicated case manager at the building to work with every client to address unmet social needs. Many of the Lake Street residents are adults with disabilities. 
Each year, The Boulevard sets ambitious goals to provide the highest quality of care for adults / householders experiencing homelessness. In FY25, The Boulevard provided Medical Respite care to 184 residents (99% of goal); and Housing &amp; Health outreach services to 456 people in 335 households (104% of goal) for a total of 640 served. Throughout the year, as program leaders embraced performance improvement best practices, Medical Respite improved the number of exits to stable housing (50% versus 48% during the prior year). Housing &amp; Health staff met or exceeded goals to place and retain householders and their family members for greater than 12 months. 
Over the past two years, The Boulevard has been at the forefront of collaborative efforts driven by the National Institute for Medical Respite Care (NIMRC) and the State of Illinois to expand access to medical respite care and access to affordable housing. The Boulevard joined the pilot cohort to develop and test national program standards that will guide others seeking to open high quality medical respite shelters. After completing a rigorous assessment, NIMRC certified The Boulevard as one of 15 model programs based on high fidelity to the new standards.
As The Boulevard’s leaders work to improve organizational effectiveness, our front-line staff work tirelessly to build relationships and trust with clients who often distrust service providers. Our staff are well trained in exercising judgment and using active listening as well as other techniques that have proven effective with populations deeply affected by trauma and poverty. On any given day, staff nimbly respond to situational demands ranging from attending to practical needs to crisis response to infection control. 
The importance of trust, training, and infrastructure comes through in a recent example: In April, a client was found unresponsive in her room. Our well-prepared team initiated the proper crisis protocol, ensuring that EMS arrived quickly to transport her to the hospital. When a few clients asked to visit her at the hospital, staff encouraged the idea and provided safe transportation to make it possible. After successful treatment, she returned to medical respite to complete her recovery plan.</t>
  </si>
  <si>
    <t>LP’s approach for addressing root causes and pursuing systemic impact takes into account both the inherent gifts of and inequities experienced by the Mexican in Chicago. The Marshall Square community that LP calls home features numerous interconnected assets, such as community-minded public schools, families with strong intergenerational ties, dedicated nonprofit networks, and industrious small businesses. As mentioned earlier, one in five Chicagoans identifies as Mexican, representing a strong social, cultural, and economic force in the region (see Fuerza Mexicana).
At the same time, Marshall Square and Chicago’s broader Mexican diaspora community has faced a history of disinvestment that outpaces other Chicago communities. Mexican communities face systemic exclusions due to language barriers, immigration status, and education attainment gaps, which result in residential and commercial displacement pressures, limited access to public support due to immigration status, and disproportionate economic burden from inflationary pressures. These exclusions lead to other social and economic challenges: Mexican workers are systematically concentrated in dangerous and low-wage jobs like construction; Mexican business ownership is far below the Mexican share of the population; and among other Latino groups, Mexican households hold one of the lowest median incomes (see Fuerza Mexicana, attached below).
LP believes that equitable development will be achieved through community-driven approaches that leverage the collective strengths of neighborhood businesses, residents, and other institutions, and are supported by systems, tools, connections and capital. The following commitments characterize this approach: 
1) LP believes in embodying community voice in everything we do. LP cultivates relationships broadly and deeply to surface emerging themes and design solutions that resonate with the people most impacted. This takes different forms depending on the issue at hand: facilitating town halls, one-to-one visits, listening sessions, co-planning sessions, feedback City-Wides. Throughout our work, 
LP ensures our voice reflects the voice of our constituents. 
2) LP believes we are better together. LP is a collaborator and convener at its core, always seeking to bring diverse partners to the table and build bigger platforms. This has been the driving force behind LP’s boldest efforts, including the Marshall Square Resource Network, One Lawndale, the Excellerator Fund, and Fuerza Mexicana. 
3) LP believes in local assets for local ownership and benefit. This means both physical ownership of assets (for example, a business owner purchasing their own building), and a communal sense of care, belonging, and ability to affect change. LP’s community development work is particularly designed to drive ownership through a variety of efforts, including placemaking (developing corridor identity, beautification efforts, etc.), restoring vacant structures to productive community use (for example, the Latinos Progresando Community Center), and supporting local business owners as they grow their businesses and pursue the purchase of their properties. 
4) Celebration of Mexican culture at the heart of uprooting inequities. A primary danger when addressing root causes is feeling the need to silence or minimize what makes a community unique. LP’s approach boldly celebrates Mexicanidad and believes that celebration, art, culture, and language are themselves acts that challenge inequitable systems.
Taken together, LP’s approach to addressing root causes and pursuing systemic impact is community-driven, collaborative, strength-based, and focuses on equity in ownership. Applied to LP’s community development work, this looks like 1) Combating isolation and “lone ranger” mentality by building a collective identity and cooperative structure among business owners; 2) Providing bilingual resources, business education, and tailored technical assistance to narrow the knowledge gap that holds back local business owners in our community; 3) Building a capital development pipeline to advance local ownership in housing, business, and green infrastructure; and 4) Leveraging proven coalition building and community engagement structures and practices to ensure constituents (residents, business owners, and employees) are informed and empowered to act on behalf of their best interests.</t>
  </si>
  <si>
    <t>City-Wide</t>
  </si>
  <si>
    <t>The City-Wide</t>
  </si>
  <si>
    <t>Our approach is deeply collaborative, responsive, and grounded in the lived experiences of LGBTQ+ youth of color and West side community members. We believe that those most impacted by systemic inequities are the experts of their own lives, and we honor this by placing community voice at the center of everything we do—from program design to evaluation to advocacy.
Our programs are designed with youth, not just for them. We engage LGBTQ+ youth of color in ongoing feedback City-Wides through focus groups, surveys, intake forms, peer-led outreach, and informal conversations during drop-in hours. This direct input informs the services we offer, the way we deliver them, and the environments we create. For example, our gender-based violence (GBV) program was shaped through interviews with youth ages 13–24 to better understand their experiences and to co-develop eligibility criteria and support models that reflect their needs. Our Vogue School, one of the most beloved and engaging programs we offer, evolved in direct response to youth expressing a need for affirming, creative spaces that celebrate identity and serve as gateways to deeper health and wellness support. The Vogue School at TaskForce also serves as a vital entry point for youth to engage with the organization's broader health and wellness services.
In terms of decision-making, we incorporate feedback not only at the program level but across our strategic initiatives. Our staff—which includes 8 alumni of TaskForce programs, peer mentors and trauma-informed specialists from the communities we serve—act as constant conduits for youth input. We also host civic engagement events, such as the Unpacking Poverty World Café, where community members and youth collaborate with partners like Equality Illinois to shape broader advocacy goals around equity and inclusion.
To ensure our feedback methods are effective and empowering, we are partnering with Northwestern University’s EDIT Program to co-develop a comprehensive, empowerment-based evaluation framework. This framework is helping us refine our data collection systems and evaluation metrics so that they reflect the complex realities of our participants' lives—centering not only outcomes like retention in care or service usage, but also growth in empowerment, community connection, and emotional well-being.
Ultimately, our model of community engagement is cyclical and evolving: youth inform the services, participate in the programs, evaluate the outcomes, and shape what comes next. This co-creative process is essential to our mission and to sustaining an organization that truly reflects and uplifts the community it serves.</t>
  </si>
  <si>
    <t>Breakthrough is intentionally located in the East Garfield Park neighborhood, a hard-working west-side community with 180 acres of parkland, active block clubs, generations-old churches, and longstanding residents committed to the well-being of the community. The community has faced historical disinvestment over the last 60 years. East Garfield Park is predominantly Black (84%), and 72% of residents do not have a college degree. Over 43% of residents live below the poverty level, and over 17% of residents are unemployed (CMAP 2024). Life expectancy in East Garfield Park is 68, which is 20 years less than in the City-Wide (Chicago Health Atlas). 
In a commitment to cultivating relationships built on dignity and respect, Breakthrough and East Garfield Park residents are working together to catalyze transformation within East Garfield Park, where success becomes the norm and everyone thrives. Breakthrough delivers a continuum of services that support individuals and families in reaching their full potential. Funds from Knight Impact Partners will help sustain and strengthen programming across Breakthrough’s five key focus areas:
Housing
Breakthrough addresses housing instability through a continuum of services, including daytime support, emergency shelter, transitional housing for 60 adults, and 43 units of permanent supportive housing for single adults. Additionally, 11 families receive case management in permanent supportive housing. Participants access comprehensive wraparound services such as healthcare, food, employment support, and emergency assistance. In 2026, Breakthrough will expand its housing efforts with the opening of The Turning Point, a 14-unit building designed to support families facing housing insecurity.
Health &amp; Wellness
Breakthrough’s health and wellness initiatives promote holistic well-being. Behavioral Health services provide therapy and mental health support for all ages. The Fresh Market, a client-choice food pantry, offers fresh groceries three times weekly and connects visitors with SNAP benefits. In partnership with Lawndale Christian Health Center, Breakthrough provides on-site medical care. A community fitness center further promotes physical health and wellness.
Economic Opportunity
Breakthrough’s Economic Opportunity programs empower individuals through five key services: workforce training, financial coaching, income support access, housing education, and small business development.
Education &amp; Youth Development
Breakthrough operates five year-round programs that support children and youth from early childhood through young adulthood:
Breakthrough Beginners: A full-day early childhood education for children ages 2–5.
Nettie Bailey Student Achievement Program: After-school and summer programming for K–8 students.
London Johnson Arts &amp; Technology Academy: STEAM-based learning focused on arts and tech.
Sports &amp; Fitness Academy: Athletics programs that promote personal growth and teamwork.
Breakthrough Beyond: High school mentorship and college access guidance with an emphasis on engaging opportunity youth.
Violence Prevention
To interrupt cycles of violence, Breakthrough provides street outreach, case management, and victim services for individuals impacted by gun violence. The program also hosts community safe-space events that reduce retaliatory violence and reclaim public spaces for peace and healing.</t>
  </si>
  <si>
    <t>In 2022, as the vision for Xchange Chicago was coming into focus, we initiated a special Task Force to leverage the wisdom and dedication of a team of key community stakeholders. Leadership from South Oakwood Brookhaven Neighborhood Organization, Gary Comer Youth Center, CHAMPS Male Mentoring, Operation Neighborhood Safety, Ring of Hope, and Network for Young Adult Success met on a regular basis to forge a collective plan that addressed shared needs, goals, and vision. We held bi-weekly meetings and formulated an action plan to realize our vision. In collaboration with community partners, the 5th Ward Alderman’s office, and the 3rd District Police, the Gary Comer Youth Center hosted several events in the community about plans for Xchange. These sessions provided feedback and direction from residents that helped shape the programs and resources Xchange offers today.
Today, Xchange continues the long legacy of collaboration and partnership in the community by practicing a 360-degree approach to recruitment and retention of participants. We rely heavily on the community partners mentioned above to spread the word about our mission and programs, as well as to share feedback on how messages are received. We conduct pre- and post-surveys with participants to assess satisfaction and have a 30, 60, 90-day check-in system as individuals complete training. This helps maintain a continuous feedback City-Wide and allows us to incorporate suggestions for improvement in our programs.</t>
  </si>
  <si>
    <t>City-Wide, Chicago</t>
  </si>
  <si>
    <t>West City-Wide Gate</t>
  </si>
  <si>
    <t>Austin, Belmont-Cragin, Hermosa, Englewood, Cabrini-Green and Altgeld Gardens</t>
  </si>
  <si>
    <t>Auburn Gresham, Chatham, South Shore, Logan Square, Rogers Park, and Uptown, Austin and North Lawndale</t>
  </si>
  <si>
    <t>West Town and Little Village</t>
  </si>
  <si>
    <t>Grant Amount Awarded</t>
  </si>
  <si>
    <t>Greater Chicago Food Depository / City Colleges of Chicago  Partnership</t>
  </si>
  <si>
    <t xml:space="preserve">Human Services and Education </t>
  </si>
  <si>
    <t>Growth Grant</t>
  </si>
  <si>
    <t>Reclaiming Chicago</t>
  </si>
  <si>
    <t>South and West Sides</t>
  </si>
  <si>
    <t>Capital</t>
  </si>
  <si>
    <t>Grant Type</t>
  </si>
  <si>
    <t>Direct Program Services</t>
  </si>
  <si>
    <t>Health and Human Services</t>
  </si>
  <si>
    <t xml:space="preserve">Health  </t>
  </si>
  <si>
    <t xml:space="preserve">Education </t>
  </si>
  <si>
    <t>Chicago Funders Together to End Homelesssness</t>
  </si>
  <si>
    <t>Pooled funds focused on rapid response direct program services, policy, advocacy, narrative building for homeless individuals</t>
  </si>
  <si>
    <t xml:space="preserve">Pooled Fund </t>
  </si>
  <si>
    <t>Small Moves Principal Emergency Fund</t>
  </si>
  <si>
    <t>Providing emergency basic human needs to low income families in targeted schools</t>
  </si>
  <si>
    <t>Neighborhood Capital Fund</t>
  </si>
  <si>
    <t>Leveraged economic development in targeted communities; Reccommendation is $1M over two years</t>
  </si>
  <si>
    <t>Community Building</t>
  </si>
  <si>
    <t xml:space="preserve">Community Building </t>
  </si>
  <si>
    <t>Imagine Englewood If</t>
  </si>
  <si>
    <t>Resourceful and deeply integrated in local neighborhood providing multi services</t>
  </si>
  <si>
    <t>West Town and Lake County</t>
  </si>
  <si>
    <t xml:space="preserve">Clearing, Little Village, Humbold Park </t>
  </si>
  <si>
    <t>Partnership for Safe and Peaceful Communities</t>
  </si>
  <si>
    <t>Largest funder pool providing grants to orgs in 21 Chicago communities focused on violence prevention and intervention</t>
  </si>
  <si>
    <t>American Red Cross (LA Fire Response)</t>
  </si>
  <si>
    <t>AMPT</t>
  </si>
  <si>
    <t>Aligned pooled emergency response funds</t>
  </si>
  <si>
    <t>Lakeview, South Side</t>
  </si>
  <si>
    <t>Crossroads Fund</t>
  </si>
  <si>
    <t>Forefront</t>
  </si>
  <si>
    <t>Garfield Park, Uptown</t>
  </si>
  <si>
    <t>National Alliance to End Homelessness</t>
  </si>
  <si>
    <t>Advocacy Leader nationally for homeless services</t>
  </si>
  <si>
    <t>National</t>
  </si>
  <si>
    <t>Suburban Cook and Lake County</t>
  </si>
  <si>
    <t>Lyte Collective</t>
  </si>
  <si>
    <t>Capacity &amp; Leadership</t>
  </si>
  <si>
    <t>World Centeral Kitchen (LA Fire Response)</t>
  </si>
  <si>
    <t>Los Angeles</t>
  </si>
  <si>
    <t>One Acre Fund</t>
  </si>
  <si>
    <t xml:space="preserve">Suburban  / International </t>
  </si>
  <si>
    <t xml:space="preserve">Capital </t>
  </si>
  <si>
    <t xml:space="preserve">Alzheimer's Association </t>
  </si>
  <si>
    <t>Matching Grant</t>
  </si>
  <si>
    <t>Window to the World</t>
  </si>
  <si>
    <t>Diaper Equity Project</t>
  </si>
  <si>
    <t>State-Wide</t>
  </si>
  <si>
    <t>Multi Year Pledge Matched Public Intl Funding Grant</t>
  </si>
  <si>
    <t>International</t>
  </si>
  <si>
    <t>Quarter</t>
  </si>
  <si>
    <t>Q1</t>
  </si>
  <si>
    <t>Disaster Relief/Emergent</t>
  </si>
  <si>
    <t>Q2</t>
  </si>
  <si>
    <t>The Renaissance Collaborative</t>
  </si>
  <si>
    <t>Bronzeville</t>
  </si>
  <si>
    <t>Q3</t>
  </si>
  <si>
    <t>Q4</t>
  </si>
  <si>
    <t>Junior Achievement</t>
  </si>
  <si>
    <t>Madonna Mission</t>
  </si>
  <si>
    <t>Food Bank of the Southern Tier</t>
  </si>
  <si>
    <t>Green Light Fund</t>
  </si>
  <si>
    <t>Second Baptist Church</t>
  </si>
  <si>
    <t>Quail Valley</t>
  </si>
  <si>
    <t xml:space="preserve">Education  </t>
  </si>
  <si>
    <t>An original legacy grant</t>
  </si>
  <si>
    <t>Q4-2024</t>
  </si>
  <si>
    <t>Aids Foundation of Chicago</t>
  </si>
  <si>
    <t>Conference Support (Tiny Homes)</t>
  </si>
  <si>
    <t xml:space="preserve">Systems Building </t>
  </si>
  <si>
    <t>North Lawndale, Woodlawn</t>
  </si>
  <si>
    <t xml:space="preserve">Father Fred Foundation </t>
  </si>
  <si>
    <t>Catholic Charities Food Bank of the Southern Tier</t>
  </si>
  <si>
    <t>Hillside Food Pantry</t>
  </si>
  <si>
    <t>Greater Chicago Food Depository</t>
  </si>
  <si>
    <t>Oak Park River Forest Community Foundation</t>
  </si>
  <si>
    <t>Philanthropy New York</t>
  </si>
  <si>
    <t>Family Matters</t>
  </si>
  <si>
    <t>Redeeming Grace Food Pantry</t>
  </si>
  <si>
    <t xml:space="preserve">Capacity Building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</si>
</sst>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_(&quot;$&quot;* #,##0_);_(&quot;$&quot;* \(#,##0\);_(&quot;$&quot;* &quot;-&quot;??_);_(@_)"/>
  </numFmts>
  <fonts count="9" x14ac:knownFonts="1">
    <font>
      <sz val="12"/>
      <color rgb="FF000000"/>
      <name val="Calibri"/>
    </font>
    <font>
      <b/>
      <sz val="11"/>
      <color rgb="FF000000"/>
      <name val="Calibri"/>
    </font>
    <font>
      <sz val="12"/>
      <color rgb="FF000000"/>
      <name val="Calibri"/>
    </font>
    <font>
      <b/>
      <sz val="11"/>
      <color theme="1"/>
      <name val="Aptos Narrow"/>
      <family val="2"/>
      <scheme val="minor"/>
    </font>
    <font>
      <sz val="12"/>
      <color rgb="FF000000"/>
      <name val="Calibri"/>
      <family val="2"/>
    </font>
    <font>
      <sz val="11"/>
      <color rgb="FF000000"/>
      <name val="Aptos Narrow"/>
      <family val="2"/>
      <scheme val="minor"/>
    </font>
    <font>
      <b/>
      <sz val="11"/>
      <color rgb="FF000000"/>
      <name val="Calibri"/>
      <family val="2"/>
    </font>
    <font>
      <sz val="11"/>
      <color rgb="FF000000"/>
      <name val="Arial"/>
      <family val="2"/>
    </font>
    <font>
      <sz val="11"/>
      <color theme="1"/>
      <name val="Arial"/>
      <family val="2"/>
    </font>
  </fonts>
  <fills count="5">
    <fill>
      <patternFill patternType="none"/>
    </fill>
    <fill>
      <patternFill patternType="gray125"/>
    </fill>
    <fill>
      <patternFill patternType="solid">
        <fgColor rgb="FFCCFFCC"/>
      </patternFill>
    </fill>
    <fill>
      <patternFill patternType="solid">
        <fgColor theme="5" tint="0.79998168889431442"/>
        <bgColor indexed="64"/>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44" fontId="2" fillId="0" borderId="0" applyFont="0" applyFill="0" applyBorder="0" applyAlignment="0" applyProtection="0"/>
  </cellStyleXfs>
  <cellXfs count="34">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0" fillId="0" borderId="0" xfId="0" applyAlignment="1">
      <alignment wrapText="1"/>
    </xf>
    <xf numFmtId="0" fontId="1" fillId="2" borderId="2" xfId="0" applyFont="1" applyFill="1" applyBorder="1" applyAlignment="1">
      <alignment horizontal="center" wrapText="1"/>
    </xf>
    <xf numFmtId="0" fontId="0" fillId="0" borderId="0" xfId="0" applyFont="1" applyAlignment="1">
      <alignment wrapText="1"/>
    </xf>
    <xf numFmtId="44" fontId="0" fillId="0" borderId="0" xfId="1" applyFont="1"/>
    <xf numFmtId="167" fontId="0" fillId="0" borderId="0" xfId="1" applyNumberFormat="1" applyFont="1"/>
    <xf numFmtId="0" fontId="4" fillId="0" borderId="0" xfId="0" applyFont="1"/>
    <xf numFmtId="44" fontId="1" fillId="2" borderId="2" xfId="1" applyFont="1" applyFill="1" applyBorder="1" applyAlignment="1">
      <alignment horizontal="center" wrapText="1"/>
    </xf>
    <xf numFmtId="0" fontId="5" fillId="0" borderId="0" xfId="0" applyFont="1" applyAlignment="1">
      <alignment horizontal="left" wrapText="1"/>
    </xf>
    <xf numFmtId="0" fontId="4" fillId="0" borderId="0" xfId="0" applyFont="1" applyAlignment="1">
      <alignment wrapText="1"/>
    </xf>
    <xf numFmtId="3" fontId="4" fillId="0" borderId="0" xfId="0" applyNumberFormat="1" applyFont="1"/>
    <xf numFmtId="0" fontId="6" fillId="2" borderId="2" xfId="0" applyFont="1" applyFill="1" applyBorder="1" applyAlignment="1">
      <alignment horizontal="center" wrapText="1"/>
    </xf>
    <xf numFmtId="44" fontId="4" fillId="0" borderId="0" xfId="1" applyFont="1"/>
    <xf numFmtId="0" fontId="0" fillId="0" borderId="0" xfId="0" applyFill="1"/>
    <xf numFmtId="0" fontId="2" fillId="0" borderId="0" xfId="0" applyFont="1" applyFill="1" applyAlignment="1">
      <alignment wrapText="1"/>
    </xf>
    <xf numFmtId="44" fontId="0" fillId="0" borderId="0" xfId="1" applyFont="1" applyFill="1"/>
    <xf numFmtId="0" fontId="4" fillId="0" borderId="0" xfId="0" applyFont="1" applyFill="1"/>
    <xf numFmtId="0" fontId="4" fillId="3" borderId="0" xfId="0" applyFont="1" applyFill="1"/>
    <xf numFmtId="0" fontId="0" fillId="3" borderId="0" xfId="0" applyFill="1"/>
    <xf numFmtId="0" fontId="2" fillId="3" borderId="0" xfId="0" applyFont="1" applyFill="1" applyAlignment="1">
      <alignment wrapText="1"/>
    </xf>
    <xf numFmtId="44" fontId="0" fillId="3" borderId="0" xfId="1" applyFont="1" applyFill="1"/>
    <xf numFmtId="0" fontId="0" fillId="3" borderId="0" xfId="0" applyFill="1" applyAlignment="1">
      <alignment wrapText="1"/>
    </xf>
    <xf numFmtId="44" fontId="0" fillId="0" borderId="0" xfId="0" applyNumberFormat="1"/>
    <xf numFmtId="0" fontId="7" fillId="0" borderId="1" xfId="0" applyFont="1" applyBorder="1" applyAlignment="1">
      <alignment horizontal="left"/>
    </xf>
    <xf numFmtId="0" fontId="8" fillId="0" borderId="1" xfId="0" applyFont="1" applyBorder="1" applyAlignment="1">
      <alignment horizontal="left"/>
    </xf>
    <xf numFmtId="0" fontId="8" fillId="4" borderId="1" xfId="0" applyFont="1" applyFill="1" applyBorder="1" applyAlignment="1">
      <alignment horizontal="left"/>
    </xf>
    <xf numFmtId="0" fontId="7" fillId="3" borderId="1" xfId="0" applyFont="1" applyFill="1" applyBorder="1" applyAlignment="1">
      <alignment horizontal="left"/>
    </xf>
    <xf numFmtId="44" fontId="3" fillId="0" borderId="0" xfId="0" applyNumberFormat="1" applyFont="1" applyAlignment="1">
      <alignment horizontal="left"/>
    </xf>
    <xf numFmtId="0" fontId="0" fillId="0" borderId="0" xfId="0" applyFill="1" applyAlignment="1">
      <alignment wrapText="1"/>
    </xf>
    <xf numFmtId="0" fontId="4" fillId="0" borderId="0" xfId="0" applyFont="1" applyFill="1" applyAlignment="1">
      <alignment wrapText="1"/>
    </xf>
    <xf numFmtId="44" fontId="0" fillId="0" borderId="0" xfId="0" applyNumberFormat="1" applyFill="1"/>
    <xf numFmtId="167"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82"/>
  <sheetViews>
    <sheetView tabSelected="1" topLeftCell="C1" zoomScale="115" zoomScaleNormal="115" workbookViewId="0">
      <pane ySplit="1" topLeftCell="A2" activePane="bottomLeft" state="frozen"/>
      <selection activeCell="C1" sqref="C1"/>
      <selection pane="bottomLeft" activeCell="BO81" sqref="BO81"/>
    </sheetView>
  </sheetViews>
  <sheetFormatPr defaultRowHeight="42.5" customHeight="1" x14ac:dyDescent="0.35"/>
  <cols>
    <col min="1" max="2" width="25" hidden="1" customWidth="1"/>
    <col min="3" max="3" width="25" customWidth="1"/>
    <col min="4" max="29" width="25" hidden="1" customWidth="1"/>
    <col min="30" max="30" width="12.08203125" customWidth="1"/>
    <col min="31" max="31" width="25" hidden="1" customWidth="1"/>
    <col min="32" max="32" width="27.75" customWidth="1"/>
    <col min="33" max="63" width="25" hidden="1" customWidth="1"/>
    <col min="64" max="64" width="32" customWidth="1"/>
    <col min="65" max="65" width="25" hidden="1" customWidth="1"/>
    <col min="66" max="66" width="25" customWidth="1"/>
    <col min="67" max="67" width="15.33203125" style="6" bestFit="1" customWidth="1"/>
    <col min="68" max="68" width="25" customWidth="1"/>
    <col min="69" max="69" width="13.08203125" customWidth="1"/>
    <col min="70" max="70" width="9" customWidth="1"/>
    <col min="71" max="1000" width="25" customWidth="1"/>
  </cols>
  <sheetData>
    <row r="1" spans="1:70" ht="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9" t="s">
        <v>1527</v>
      </c>
      <c r="BP1" s="4" t="s">
        <v>1534</v>
      </c>
      <c r="BQ1" s="13" t="s">
        <v>1541</v>
      </c>
      <c r="BR1" s="13" t="s">
        <v>1579</v>
      </c>
    </row>
    <row r="2" spans="1:70" ht="42.5" customHeight="1" x14ac:dyDescent="0.35">
      <c r="A2" t="s">
        <v>59</v>
      </c>
      <c r="B2" t="s">
        <v>60</v>
      </c>
      <c r="C2" t="s">
        <v>213</v>
      </c>
      <c r="D2" t="s">
        <v>214</v>
      </c>
      <c r="E2" t="s">
        <v>215</v>
      </c>
      <c r="F2" t="s">
        <v>62</v>
      </c>
      <c r="G2" t="s">
        <v>63</v>
      </c>
      <c r="H2" t="s">
        <v>64</v>
      </c>
      <c r="I2" t="s">
        <v>216</v>
      </c>
      <c r="J2" t="s">
        <v>217</v>
      </c>
      <c r="K2" t="s">
        <v>218</v>
      </c>
      <c r="L2" t="s">
        <v>219</v>
      </c>
      <c r="M2" t="s">
        <v>220</v>
      </c>
      <c r="N2" t="s">
        <v>212</v>
      </c>
      <c r="O2" t="s">
        <v>221</v>
      </c>
      <c r="P2" t="s">
        <v>222</v>
      </c>
      <c r="Q2" t="s">
        <v>223</v>
      </c>
      <c r="R2" t="s">
        <v>224</v>
      </c>
      <c r="S2" t="s">
        <v>225</v>
      </c>
      <c r="T2" t="s">
        <v>226</v>
      </c>
      <c r="U2" t="s">
        <v>227</v>
      </c>
      <c r="V2" t="s">
        <v>228</v>
      </c>
      <c r="W2" t="s">
        <v>68</v>
      </c>
      <c r="X2" t="s">
        <v>142</v>
      </c>
      <c r="Y2" s="2" t="s">
        <v>229</v>
      </c>
      <c r="Z2" t="s">
        <v>230</v>
      </c>
      <c r="AA2" t="s">
        <v>190</v>
      </c>
      <c r="AB2" t="s">
        <v>191</v>
      </c>
      <c r="AC2" t="s">
        <v>231</v>
      </c>
      <c r="AD2" s="2" t="s">
        <v>232</v>
      </c>
      <c r="AE2" t="s">
        <v>194</v>
      </c>
      <c r="AF2" t="s">
        <v>69</v>
      </c>
      <c r="AG2" s="2" t="s">
        <v>233</v>
      </c>
      <c r="AH2" s="2" t="s">
        <v>234</v>
      </c>
      <c r="AI2" t="s">
        <v>235</v>
      </c>
      <c r="AJ2" t="s">
        <v>236</v>
      </c>
      <c r="AK2" s="2" t="s">
        <v>237</v>
      </c>
      <c r="AL2" s="2" t="s">
        <v>238</v>
      </c>
      <c r="AM2" t="s">
        <v>239</v>
      </c>
      <c r="AN2" s="2" t="s">
        <v>240</v>
      </c>
      <c r="AO2" s="2" t="s">
        <v>241</v>
      </c>
      <c r="AP2" t="s">
        <v>70</v>
      </c>
      <c r="AQ2" t="s">
        <v>71</v>
      </c>
      <c r="BD2" s="2" t="s">
        <v>242</v>
      </c>
      <c r="BE2" t="s">
        <v>243</v>
      </c>
      <c r="BF2" s="2" t="s">
        <v>244</v>
      </c>
      <c r="BG2" s="2" t="s">
        <v>245</v>
      </c>
      <c r="BH2" t="s">
        <v>71</v>
      </c>
      <c r="BI2" s="2" t="s">
        <v>246</v>
      </c>
      <c r="BK2" t="s">
        <v>247</v>
      </c>
      <c r="BL2" t="s">
        <v>248</v>
      </c>
      <c r="BM2" t="s">
        <v>249</v>
      </c>
      <c r="BN2" t="s">
        <v>1517</v>
      </c>
      <c r="BO2" s="6">
        <v>150000</v>
      </c>
      <c r="BP2" t="s">
        <v>1536</v>
      </c>
      <c r="BR2" s="8" t="s">
        <v>1585</v>
      </c>
    </row>
    <row r="3" spans="1:70" ht="42.5" customHeight="1" x14ac:dyDescent="0.35">
      <c r="A3" t="s">
        <v>74</v>
      </c>
      <c r="B3" t="s">
        <v>75</v>
      </c>
      <c r="C3" t="s">
        <v>1142</v>
      </c>
      <c r="D3" t="s">
        <v>1143</v>
      </c>
      <c r="E3" t="s">
        <v>1144</v>
      </c>
      <c r="F3" t="s">
        <v>1145</v>
      </c>
      <c r="G3" t="s">
        <v>63</v>
      </c>
      <c r="H3" t="s">
        <v>64</v>
      </c>
      <c r="I3" t="s">
        <v>1146</v>
      </c>
      <c r="J3" t="s">
        <v>1147</v>
      </c>
      <c r="K3" t="s">
        <v>1148</v>
      </c>
      <c r="L3" t="s">
        <v>1149</v>
      </c>
      <c r="M3" t="s">
        <v>1150</v>
      </c>
      <c r="N3" t="s">
        <v>1141</v>
      </c>
      <c r="O3" t="s">
        <v>1151</v>
      </c>
      <c r="U3" t="s">
        <v>664</v>
      </c>
      <c r="V3" t="s">
        <v>71</v>
      </c>
      <c r="W3" t="s">
        <v>142</v>
      </c>
      <c r="X3" t="s">
        <v>1152</v>
      </c>
      <c r="Y3" s="2" t="s">
        <v>1153</v>
      </c>
      <c r="Z3" s="2" t="s">
        <v>1154</v>
      </c>
      <c r="AA3" t="s">
        <v>146</v>
      </c>
      <c r="AB3" t="s">
        <v>314</v>
      </c>
      <c r="AC3" t="s">
        <v>1056</v>
      </c>
      <c r="AD3" t="s">
        <v>1155</v>
      </c>
      <c r="AE3" t="s">
        <v>1156</v>
      </c>
      <c r="AF3" t="s">
        <v>69</v>
      </c>
      <c r="AG3" s="2" t="s">
        <v>1157</v>
      </c>
      <c r="AH3" s="2" t="s">
        <v>1158</v>
      </c>
      <c r="AI3" t="s">
        <v>1159</v>
      </c>
      <c r="AJ3" s="2" t="s">
        <v>1160</v>
      </c>
      <c r="AK3" t="s">
        <v>1161</v>
      </c>
      <c r="AL3" s="2" t="s">
        <v>1162</v>
      </c>
      <c r="AM3" s="2" t="s">
        <v>1163</v>
      </c>
      <c r="AN3" s="2" t="s">
        <v>1164</v>
      </c>
      <c r="AO3" s="2" t="s">
        <v>1165</v>
      </c>
      <c r="BD3" s="2" t="s">
        <v>242</v>
      </c>
      <c r="BE3" t="s">
        <v>1166</v>
      </c>
      <c r="BF3" t="s">
        <v>286</v>
      </c>
      <c r="BG3" s="2" t="s">
        <v>206</v>
      </c>
      <c r="BH3" t="s">
        <v>71</v>
      </c>
      <c r="BI3" s="2" t="s">
        <v>1167</v>
      </c>
      <c r="BN3" t="s">
        <v>1517</v>
      </c>
      <c r="BO3" s="6">
        <v>75000</v>
      </c>
      <c r="BP3" s="8" t="s">
        <v>537</v>
      </c>
      <c r="BR3" s="8" t="s">
        <v>1580</v>
      </c>
    </row>
    <row r="4" spans="1:70" ht="42.5" customHeight="1" x14ac:dyDescent="0.35">
      <c r="C4" s="8" t="s">
        <v>1572</v>
      </c>
      <c r="Y4" s="2"/>
      <c r="Z4" s="2"/>
      <c r="AF4" s="8" t="s">
        <v>150</v>
      </c>
      <c r="AG4" s="2"/>
      <c r="AH4" s="2"/>
      <c r="AJ4" s="2"/>
      <c r="AL4" s="2"/>
      <c r="AM4" s="2"/>
      <c r="AN4" s="2"/>
      <c r="AO4" s="2"/>
      <c r="BD4" s="2"/>
      <c r="BG4" s="2"/>
      <c r="BI4" s="2"/>
      <c r="BN4" s="8" t="s">
        <v>1517</v>
      </c>
      <c r="BO4" s="6">
        <v>50000</v>
      </c>
      <c r="BP4" s="8" t="s">
        <v>1535</v>
      </c>
      <c r="BR4" s="8" t="s">
        <v>1595</v>
      </c>
    </row>
    <row r="5" spans="1:70" ht="42.5" customHeight="1" x14ac:dyDescent="0.35">
      <c r="C5" s="10" t="s">
        <v>1555</v>
      </c>
      <c r="Y5" s="2"/>
      <c r="Z5" s="2"/>
      <c r="AD5" s="3" t="s">
        <v>1556</v>
      </c>
      <c r="AF5" s="8" t="s">
        <v>537</v>
      </c>
      <c r="AG5" s="2"/>
      <c r="AH5" s="2"/>
      <c r="AJ5" s="2"/>
      <c r="AL5" s="2"/>
      <c r="AM5" s="2"/>
      <c r="AN5" s="2"/>
      <c r="AO5" s="2"/>
      <c r="BD5" s="2"/>
      <c r="BG5" s="2"/>
      <c r="BI5" s="2"/>
      <c r="BN5" s="8" t="s">
        <v>1517</v>
      </c>
      <c r="BO5" s="6">
        <v>100000</v>
      </c>
      <c r="BP5" s="8" t="s">
        <v>537</v>
      </c>
      <c r="BQ5" s="8" t="s">
        <v>1541</v>
      </c>
      <c r="BR5" s="8" t="s">
        <v>1582</v>
      </c>
    </row>
    <row r="6" spans="1:70" ht="42.5" customHeight="1" x14ac:dyDescent="0.35">
      <c r="A6" t="s">
        <v>122</v>
      </c>
      <c r="B6" t="s">
        <v>169</v>
      </c>
      <c r="C6" t="s">
        <v>689</v>
      </c>
      <c r="D6" t="s">
        <v>690</v>
      </c>
      <c r="E6" t="s">
        <v>691</v>
      </c>
      <c r="F6" t="s">
        <v>62</v>
      </c>
      <c r="G6" t="s">
        <v>63</v>
      </c>
      <c r="H6" t="s">
        <v>64</v>
      </c>
      <c r="I6" t="s">
        <v>65</v>
      </c>
      <c r="J6" t="s">
        <v>692</v>
      </c>
      <c r="K6" t="s">
        <v>693</v>
      </c>
      <c r="L6" t="s">
        <v>694</v>
      </c>
      <c r="M6" t="s">
        <v>416</v>
      </c>
      <c r="N6" t="s">
        <v>688</v>
      </c>
      <c r="O6" t="s">
        <v>695</v>
      </c>
      <c r="P6" t="s">
        <v>696</v>
      </c>
      <c r="Q6" t="s">
        <v>697</v>
      </c>
      <c r="R6" t="s">
        <v>412</v>
      </c>
      <c r="S6" t="s">
        <v>698</v>
      </c>
      <c r="T6" t="s">
        <v>699</v>
      </c>
      <c r="U6" t="s">
        <v>700</v>
      </c>
      <c r="V6" t="s">
        <v>701</v>
      </c>
      <c r="W6" t="s">
        <v>143</v>
      </c>
      <c r="X6" t="s">
        <v>702</v>
      </c>
      <c r="Y6" s="2" t="s">
        <v>703</v>
      </c>
      <c r="Z6" t="s">
        <v>704</v>
      </c>
      <c r="AA6" t="s">
        <v>705</v>
      </c>
      <c r="AB6" t="s">
        <v>190</v>
      </c>
      <c r="AC6" t="s">
        <v>689</v>
      </c>
      <c r="AD6" s="2" t="s">
        <v>1520</v>
      </c>
      <c r="AE6" t="s">
        <v>273</v>
      </c>
      <c r="AF6" t="s">
        <v>352</v>
      </c>
      <c r="AG6" s="2" t="s">
        <v>706</v>
      </c>
      <c r="AH6" s="2" t="s">
        <v>707</v>
      </c>
      <c r="AI6" s="2" t="s">
        <v>708</v>
      </c>
      <c r="AJ6" s="2" t="s">
        <v>709</v>
      </c>
      <c r="AK6" s="2" t="s">
        <v>710</v>
      </c>
      <c r="AL6" s="2" t="s">
        <v>711</v>
      </c>
      <c r="AM6" s="2" t="s">
        <v>712</v>
      </c>
      <c r="AN6" s="2" t="s">
        <v>713</v>
      </c>
      <c r="AO6" s="2" t="s">
        <v>714</v>
      </c>
      <c r="BD6" s="2" t="s">
        <v>328</v>
      </c>
      <c r="BE6" t="s">
        <v>715</v>
      </c>
      <c r="BF6" t="s">
        <v>286</v>
      </c>
      <c r="BG6" s="2" t="s">
        <v>206</v>
      </c>
      <c r="BH6" t="s">
        <v>71</v>
      </c>
      <c r="BI6" s="2" t="s">
        <v>716</v>
      </c>
      <c r="BJ6" s="2" t="s">
        <v>717</v>
      </c>
      <c r="BK6" t="s">
        <v>718</v>
      </c>
      <c r="BN6" t="s">
        <v>291</v>
      </c>
      <c r="BO6" s="6">
        <v>150000</v>
      </c>
      <c r="BP6" s="8" t="s">
        <v>1535</v>
      </c>
      <c r="BR6" s="8" t="s">
        <v>1582</v>
      </c>
    </row>
    <row r="7" spans="1:70" ht="42.5" customHeight="1" x14ac:dyDescent="0.35">
      <c r="A7" t="s">
        <v>122</v>
      </c>
      <c r="B7" t="s">
        <v>212</v>
      </c>
      <c r="C7" t="s">
        <v>902</v>
      </c>
      <c r="D7" t="s">
        <v>903</v>
      </c>
      <c r="E7" t="s">
        <v>904</v>
      </c>
      <c r="F7" t="s">
        <v>905</v>
      </c>
      <c r="G7" t="s">
        <v>63</v>
      </c>
      <c r="H7" t="s">
        <v>64</v>
      </c>
      <c r="I7" t="s">
        <v>80</v>
      </c>
      <c r="J7" t="s">
        <v>906</v>
      </c>
      <c r="K7" t="s">
        <v>907</v>
      </c>
      <c r="L7" t="s">
        <v>908</v>
      </c>
      <c r="M7" t="s">
        <v>259</v>
      </c>
      <c r="N7" t="s">
        <v>909</v>
      </c>
      <c r="O7" t="s">
        <v>910</v>
      </c>
      <c r="P7" t="s">
        <v>911</v>
      </c>
      <c r="Q7" t="s">
        <v>912</v>
      </c>
      <c r="R7" t="s">
        <v>259</v>
      </c>
      <c r="S7" t="s">
        <v>901</v>
      </c>
      <c r="T7" t="s">
        <v>913</v>
      </c>
      <c r="U7" t="s">
        <v>914</v>
      </c>
      <c r="V7" t="s">
        <v>915</v>
      </c>
      <c r="W7" t="s">
        <v>310</v>
      </c>
      <c r="X7" t="s">
        <v>916</v>
      </c>
      <c r="Y7" s="2" t="s">
        <v>917</v>
      </c>
      <c r="Z7" s="2" t="s">
        <v>918</v>
      </c>
      <c r="AA7" t="s">
        <v>498</v>
      </c>
      <c r="AB7" t="s">
        <v>499</v>
      </c>
      <c r="AC7" t="s">
        <v>919</v>
      </c>
      <c r="AD7" s="2" t="s">
        <v>920</v>
      </c>
      <c r="AE7" t="s">
        <v>921</v>
      </c>
      <c r="AF7" t="s">
        <v>69</v>
      </c>
      <c r="AG7" s="2" t="s">
        <v>922</v>
      </c>
      <c r="AH7" s="2" t="s">
        <v>923</v>
      </c>
      <c r="AI7" s="2" t="s">
        <v>924</v>
      </c>
      <c r="AJ7" s="2" t="s">
        <v>925</v>
      </c>
      <c r="AK7" s="2" t="s">
        <v>926</v>
      </c>
      <c r="AL7" s="2" t="s">
        <v>927</v>
      </c>
      <c r="AM7" s="2" t="s">
        <v>928</v>
      </c>
      <c r="AN7" s="2" t="s">
        <v>929</v>
      </c>
      <c r="AO7" s="2" t="s">
        <v>930</v>
      </c>
      <c r="BD7" s="2" t="s">
        <v>112</v>
      </c>
      <c r="BE7" t="s">
        <v>931</v>
      </c>
      <c r="BF7" s="2" t="s">
        <v>114</v>
      </c>
      <c r="BG7" s="2" t="s">
        <v>206</v>
      </c>
      <c r="BH7" t="s">
        <v>71</v>
      </c>
      <c r="BI7" s="2" t="s">
        <v>932</v>
      </c>
      <c r="BJ7" s="2" t="s">
        <v>933</v>
      </c>
      <c r="BN7" t="s">
        <v>121</v>
      </c>
      <c r="BO7" s="6">
        <v>175000</v>
      </c>
      <c r="BP7" s="8" t="s">
        <v>1535</v>
      </c>
      <c r="BR7" s="8" t="s">
        <v>1580</v>
      </c>
    </row>
    <row r="8" spans="1:70" s="15" customFormat="1" ht="42.5" customHeight="1" x14ac:dyDescent="0.35">
      <c r="A8" t="s">
        <v>122</v>
      </c>
      <c r="B8" t="s">
        <v>250</v>
      </c>
      <c r="C8" s="15" t="s">
        <v>76</v>
      </c>
      <c r="D8" t="s">
        <v>77</v>
      </c>
      <c r="E8" t="s">
        <v>78</v>
      </c>
      <c r="F8" t="s">
        <v>79</v>
      </c>
      <c r="G8" t="s">
        <v>63</v>
      </c>
      <c r="H8" t="s">
        <v>64</v>
      </c>
      <c r="I8" t="s">
        <v>80</v>
      </c>
      <c r="J8" t="s">
        <v>81</v>
      </c>
      <c r="K8" t="s">
        <v>82</v>
      </c>
      <c r="L8" t="s">
        <v>83</v>
      </c>
      <c r="M8" t="s">
        <v>84</v>
      </c>
      <c r="N8" t="s">
        <v>75</v>
      </c>
      <c r="O8" t="s">
        <v>85</v>
      </c>
      <c r="P8" t="s">
        <v>86</v>
      </c>
      <c r="Q8" t="s">
        <v>87</v>
      </c>
      <c r="R8" t="s">
        <v>88</v>
      </c>
      <c r="S8" t="s">
        <v>89</v>
      </c>
      <c r="T8" t="s">
        <v>90</v>
      </c>
      <c r="U8" t="s">
        <v>91</v>
      </c>
      <c r="V8" t="s">
        <v>92</v>
      </c>
      <c r="W8" t="s">
        <v>93</v>
      </c>
      <c r="X8" t="s">
        <v>94</v>
      </c>
      <c r="Y8" s="2" t="s">
        <v>95</v>
      </c>
      <c r="Z8" s="2" t="s">
        <v>96</v>
      </c>
      <c r="AA8" t="s">
        <v>97</v>
      </c>
      <c r="AB8" t="s">
        <v>98</v>
      </c>
      <c r="AC8" t="s">
        <v>99</v>
      </c>
      <c r="AD8" s="16" t="s">
        <v>100</v>
      </c>
      <c r="AE8" t="s">
        <v>101</v>
      </c>
      <c r="AF8" s="15" t="s">
        <v>102</v>
      </c>
      <c r="AG8" s="2" t="s">
        <v>103</v>
      </c>
      <c r="AH8" s="2" t="s">
        <v>104</v>
      </c>
      <c r="AI8" s="2" t="s">
        <v>105</v>
      </c>
      <c r="AJ8" s="2" t="s">
        <v>106</v>
      </c>
      <c r="AK8" s="2" t="s">
        <v>107</v>
      </c>
      <c r="AL8" s="2" t="s">
        <v>108</v>
      </c>
      <c r="AM8" s="2" t="s">
        <v>109</v>
      </c>
      <c r="AN8" s="2" t="s">
        <v>110</v>
      </c>
      <c r="AO8" t="s">
        <v>111</v>
      </c>
      <c r="AP8"/>
      <c r="AQ8"/>
      <c r="AR8"/>
      <c r="AS8"/>
      <c r="AT8"/>
      <c r="AU8"/>
      <c r="AV8"/>
      <c r="AW8"/>
      <c r="AX8"/>
      <c r="AY8"/>
      <c r="AZ8"/>
      <c r="BA8"/>
      <c r="BB8"/>
      <c r="BC8"/>
      <c r="BD8" s="2" t="s">
        <v>112</v>
      </c>
      <c r="BE8" t="s">
        <v>113</v>
      </c>
      <c r="BF8" s="2" t="s">
        <v>114</v>
      </c>
      <c r="BG8" t="s">
        <v>115</v>
      </c>
      <c r="BH8" t="s">
        <v>116</v>
      </c>
      <c r="BI8" s="2" t="s">
        <v>117</v>
      </c>
      <c r="BJ8" t="s">
        <v>118</v>
      </c>
      <c r="BK8" t="s">
        <v>119</v>
      </c>
      <c r="BL8" s="15" t="s">
        <v>120</v>
      </c>
      <c r="BM8" t="s">
        <v>121</v>
      </c>
      <c r="BN8" s="30" t="s">
        <v>1524</v>
      </c>
      <c r="BO8" s="17">
        <v>50000</v>
      </c>
      <c r="BP8" s="18" t="s">
        <v>1535</v>
      </c>
      <c r="BR8" s="18" t="s">
        <v>1586</v>
      </c>
    </row>
    <row r="9" spans="1:70" ht="42.5" customHeight="1" x14ac:dyDescent="0.35">
      <c r="A9" t="s">
        <v>122</v>
      </c>
      <c r="B9" t="s">
        <v>250</v>
      </c>
      <c r="C9" s="20" t="s">
        <v>76</v>
      </c>
      <c r="D9" s="20" t="s">
        <v>77</v>
      </c>
      <c r="E9" s="20" t="s">
        <v>78</v>
      </c>
      <c r="F9" s="20" t="s">
        <v>79</v>
      </c>
      <c r="G9" s="20" t="s">
        <v>63</v>
      </c>
      <c r="H9" s="20" t="s">
        <v>64</v>
      </c>
      <c r="I9" s="20" t="s">
        <v>80</v>
      </c>
      <c r="J9" s="20" t="s">
        <v>81</v>
      </c>
      <c r="K9" s="20" t="s">
        <v>82</v>
      </c>
      <c r="L9" s="20" t="s">
        <v>83</v>
      </c>
      <c r="M9" s="20" t="s">
        <v>84</v>
      </c>
      <c r="N9" s="20" t="s">
        <v>75</v>
      </c>
      <c r="O9" s="20" t="s">
        <v>85</v>
      </c>
      <c r="P9" s="20" t="s">
        <v>86</v>
      </c>
      <c r="Q9" s="20" t="s">
        <v>87</v>
      </c>
      <c r="R9" s="20" t="s">
        <v>88</v>
      </c>
      <c r="S9" s="20" t="s">
        <v>89</v>
      </c>
      <c r="T9" s="20" t="s">
        <v>90</v>
      </c>
      <c r="U9" s="20" t="s">
        <v>91</v>
      </c>
      <c r="V9" s="20" t="s">
        <v>92</v>
      </c>
      <c r="W9" s="20" t="s">
        <v>93</v>
      </c>
      <c r="X9" s="20" t="s">
        <v>94</v>
      </c>
      <c r="Y9" s="21" t="s">
        <v>95</v>
      </c>
      <c r="Z9" s="21" t="s">
        <v>96</v>
      </c>
      <c r="AA9" s="20" t="s">
        <v>97</v>
      </c>
      <c r="AB9" s="20" t="s">
        <v>98</v>
      </c>
      <c r="AC9" s="20" t="s">
        <v>99</v>
      </c>
      <c r="AD9" s="21" t="s">
        <v>100</v>
      </c>
      <c r="AE9" s="20" t="s">
        <v>101</v>
      </c>
      <c r="AF9" s="20" t="s">
        <v>102</v>
      </c>
      <c r="AG9" s="21" t="s">
        <v>103</v>
      </c>
      <c r="AH9" s="21" t="s">
        <v>104</v>
      </c>
      <c r="AI9" s="21" t="s">
        <v>105</v>
      </c>
      <c r="AJ9" s="21" t="s">
        <v>106</v>
      </c>
      <c r="AK9" s="21" t="s">
        <v>107</v>
      </c>
      <c r="AL9" s="21" t="s">
        <v>108</v>
      </c>
      <c r="AM9" s="21" t="s">
        <v>109</v>
      </c>
      <c r="AN9" s="21" t="s">
        <v>110</v>
      </c>
      <c r="AO9" s="20" t="s">
        <v>111</v>
      </c>
      <c r="AP9" s="20"/>
      <c r="AQ9" s="20"/>
      <c r="AR9" s="20"/>
      <c r="AS9" s="20"/>
      <c r="AT9" s="20"/>
      <c r="AU9" s="20"/>
      <c r="AV9" s="20"/>
      <c r="AW9" s="20"/>
      <c r="AX9" s="20"/>
      <c r="AY9" s="20"/>
      <c r="AZ9" s="20"/>
      <c r="BA9" s="20"/>
      <c r="BB9" s="20"/>
      <c r="BC9" s="20"/>
      <c r="BD9" s="21" t="s">
        <v>112</v>
      </c>
      <c r="BE9" s="20" t="s">
        <v>113</v>
      </c>
      <c r="BF9" s="21" t="s">
        <v>114</v>
      </c>
      <c r="BG9" s="20" t="s">
        <v>115</v>
      </c>
      <c r="BH9" s="20" t="s">
        <v>116</v>
      </c>
      <c r="BI9" s="21" t="s">
        <v>117</v>
      </c>
      <c r="BJ9" s="20" t="s">
        <v>118</v>
      </c>
      <c r="BK9" s="20" t="s">
        <v>119</v>
      </c>
      <c r="BL9" s="20" t="s">
        <v>120</v>
      </c>
      <c r="BM9" s="20" t="s">
        <v>121</v>
      </c>
      <c r="BN9" s="23" t="s">
        <v>1524</v>
      </c>
      <c r="BO9" s="22">
        <v>30000</v>
      </c>
      <c r="BP9" s="19" t="s">
        <v>1535</v>
      </c>
      <c r="BQ9" s="20"/>
      <c r="BR9" s="8" t="s">
        <v>1595</v>
      </c>
    </row>
    <row r="10" spans="1:70" s="15" customFormat="1" ht="42.5" customHeight="1" x14ac:dyDescent="0.35">
      <c r="A10" t="s">
        <v>334</v>
      </c>
      <c r="B10" t="s">
        <v>335</v>
      </c>
      <c r="C10" s="15" t="s">
        <v>1448</v>
      </c>
      <c r="D10" t="s">
        <v>1449</v>
      </c>
      <c r="E10" t="s">
        <v>1450</v>
      </c>
      <c r="F10" t="s">
        <v>870</v>
      </c>
      <c r="G10" t="s">
        <v>63</v>
      </c>
      <c r="H10" t="s">
        <v>64</v>
      </c>
      <c r="I10" t="s">
        <v>1146</v>
      </c>
      <c r="J10" t="s">
        <v>1451</v>
      </c>
      <c r="K10" t="s">
        <v>1452</v>
      </c>
      <c r="L10" t="s">
        <v>1453</v>
      </c>
      <c r="M10" t="s">
        <v>412</v>
      </c>
      <c r="N10" t="s">
        <v>1447</v>
      </c>
      <c r="O10" t="s">
        <v>1454</v>
      </c>
      <c r="P10" t="s">
        <v>1455</v>
      </c>
      <c r="Q10" t="s">
        <v>1456</v>
      </c>
      <c r="R10" t="s">
        <v>224</v>
      </c>
      <c r="S10" t="s">
        <v>1457</v>
      </c>
      <c r="T10" t="s">
        <v>1458</v>
      </c>
      <c r="U10" t="s">
        <v>1459</v>
      </c>
      <c r="V10" t="s">
        <v>1460</v>
      </c>
      <c r="W10" t="s">
        <v>327</v>
      </c>
      <c r="X10" t="s">
        <v>1461</v>
      </c>
      <c r="Y10" s="2" t="s">
        <v>1462</v>
      </c>
      <c r="Z10" s="2" t="s">
        <v>1463</v>
      </c>
      <c r="AA10" t="s">
        <v>498</v>
      </c>
      <c r="AB10" t="s">
        <v>499</v>
      </c>
      <c r="AC10" t="s">
        <v>1448</v>
      </c>
      <c r="AD10" s="16" t="s">
        <v>1464</v>
      </c>
      <c r="AE10" t="s">
        <v>1465</v>
      </c>
      <c r="AF10" s="15" t="s">
        <v>69</v>
      </c>
      <c r="AG10" s="2" t="s">
        <v>1466</v>
      </c>
      <c r="AH10" s="2" t="s">
        <v>1467</v>
      </c>
      <c r="AI10" s="2" t="s">
        <v>1468</v>
      </c>
      <c r="AJ10" s="2" t="s">
        <v>1469</v>
      </c>
      <c r="AK10" s="2" t="s">
        <v>1470</v>
      </c>
      <c r="AL10" s="2" t="s">
        <v>1471</v>
      </c>
      <c r="AM10" t="s">
        <v>1472</v>
      </c>
      <c r="AN10" s="2" t="s">
        <v>1473</v>
      </c>
      <c r="AO10" s="2" t="s">
        <v>1474</v>
      </c>
      <c r="AP10"/>
      <c r="AQ10"/>
      <c r="AR10"/>
      <c r="AS10"/>
      <c r="AT10"/>
      <c r="AU10"/>
      <c r="AV10"/>
      <c r="AW10"/>
      <c r="AX10"/>
      <c r="AY10"/>
      <c r="AZ10"/>
      <c r="BA10"/>
      <c r="BB10"/>
      <c r="BC10"/>
      <c r="BD10" s="2" t="s">
        <v>242</v>
      </c>
      <c r="BE10" t="s">
        <v>1475</v>
      </c>
      <c r="BF10" t="s">
        <v>286</v>
      </c>
      <c r="BG10" s="2" t="s">
        <v>206</v>
      </c>
      <c r="BH10" t="s">
        <v>472</v>
      </c>
      <c r="BI10" s="2" t="s">
        <v>1476</v>
      </c>
      <c r="BJ10" t="s">
        <v>1477</v>
      </c>
      <c r="BK10"/>
      <c r="BM10" t="s">
        <v>1523</v>
      </c>
      <c r="BN10" s="15" t="s">
        <v>1517</v>
      </c>
      <c r="BO10" s="17">
        <v>200000</v>
      </c>
      <c r="BP10" s="18" t="s">
        <v>1535</v>
      </c>
      <c r="BR10" s="18" t="s">
        <v>1586</v>
      </c>
    </row>
    <row r="11" spans="1:70" ht="42.5" customHeight="1" x14ac:dyDescent="0.35">
      <c r="A11" t="s">
        <v>334</v>
      </c>
      <c r="B11" t="s">
        <v>335</v>
      </c>
      <c r="C11" t="s">
        <v>1448</v>
      </c>
      <c r="D11" t="s">
        <v>1449</v>
      </c>
      <c r="E11" t="s">
        <v>1450</v>
      </c>
      <c r="F11" t="s">
        <v>870</v>
      </c>
      <c r="G11" t="s">
        <v>63</v>
      </c>
      <c r="H11" t="s">
        <v>64</v>
      </c>
      <c r="I11" t="s">
        <v>1146</v>
      </c>
      <c r="J11" t="s">
        <v>1451</v>
      </c>
      <c r="K11" t="s">
        <v>1452</v>
      </c>
      <c r="L11" t="s">
        <v>1453</v>
      </c>
      <c r="M11" t="s">
        <v>412</v>
      </c>
      <c r="N11" t="s">
        <v>1447</v>
      </c>
      <c r="O11" t="s">
        <v>1454</v>
      </c>
      <c r="P11" t="s">
        <v>1455</v>
      </c>
      <c r="Q11" t="s">
        <v>1456</v>
      </c>
      <c r="R11" t="s">
        <v>224</v>
      </c>
      <c r="S11" t="s">
        <v>1457</v>
      </c>
      <c r="T11" t="s">
        <v>1458</v>
      </c>
      <c r="U11" t="s">
        <v>1459</v>
      </c>
      <c r="V11" t="s">
        <v>1460</v>
      </c>
      <c r="W11" t="s">
        <v>327</v>
      </c>
      <c r="X11" t="s">
        <v>1461</v>
      </c>
      <c r="Y11" s="2" t="s">
        <v>1462</v>
      </c>
      <c r="Z11" s="2" t="s">
        <v>1463</v>
      </c>
      <c r="AA11" t="s">
        <v>498</v>
      </c>
      <c r="AB11" t="s">
        <v>499</v>
      </c>
      <c r="AC11" t="s">
        <v>1448</v>
      </c>
      <c r="AD11" s="2" t="s">
        <v>1464</v>
      </c>
      <c r="AE11" t="s">
        <v>1465</v>
      </c>
      <c r="AF11" t="s">
        <v>69</v>
      </c>
      <c r="AG11" s="2" t="s">
        <v>1466</v>
      </c>
      <c r="AH11" s="2" t="s">
        <v>1467</v>
      </c>
      <c r="AI11" s="2" t="s">
        <v>1468</v>
      </c>
      <c r="AJ11" s="2" t="s">
        <v>1469</v>
      </c>
      <c r="AK11" s="2" t="s">
        <v>1470</v>
      </c>
      <c r="AL11" s="2" t="s">
        <v>1471</v>
      </c>
      <c r="AM11" t="s">
        <v>1472</v>
      </c>
      <c r="AN11" s="2" t="s">
        <v>1473</v>
      </c>
      <c r="AO11" s="2" t="s">
        <v>1474</v>
      </c>
      <c r="BD11" s="2" t="s">
        <v>242</v>
      </c>
      <c r="BE11" t="s">
        <v>1475</v>
      </c>
      <c r="BF11" t="s">
        <v>286</v>
      </c>
      <c r="BG11" s="2" t="s">
        <v>206</v>
      </c>
      <c r="BH11" t="s">
        <v>472</v>
      </c>
      <c r="BI11" s="2" t="s">
        <v>1476</v>
      </c>
      <c r="BJ11" t="s">
        <v>1477</v>
      </c>
      <c r="BM11" t="s">
        <v>1523</v>
      </c>
      <c r="BN11" t="s">
        <v>1517</v>
      </c>
      <c r="BO11" s="6">
        <v>200000</v>
      </c>
      <c r="BP11" s="8" t="s">
        <v>1535</v>
      </c>
      <c r="BR11" s="8" t="s">
        <v>1595</v>
      </c>
    </row>
    <row r="12" spans="1:70" ht="42.5" customHeight="1" x14ac:dyDescent="0.35">
      <c r="A12" t="s">
        <v>367</v>
      </c>
      <c r="B12" t="s">
        <v>368</v>
      </c>
      <c r="C12" t="s">
        <v>652</v>
      </c>
      <c r="D12" t="s">
        <v>653</v>
      </c>
      <c r="E12" t="s">
        <v>654</v>
      </c>
      <c r="F12" t="s">
        <v>445</v>
      </c>
      <c r="G12" t="s">
        <v>63</v>
      </c>
      <c r="H12" t="s">
        <v>64</v>
      </c>
      <c r="I12" t="s">
        <v>655</v>
      </c>
      <c r="J12" t="s">
        <v>656</v>
      </c>
      <c r="K12" t="s">
        <v>657</v>
      </c>
      <c r="L12" t="s">
        <v>658</v>
      </c>
      <c r="M12" t="s">
        <v>416</v>
      </c>
      <c r="N12" t="s">
        <v>659</v>
      </c>
      <c r="O12" t="s">
        <v>660</v>
      </c>
      <c r="P12" t="s">
        <v>661</v>
      </c>
      <c r="Q12" t="s">
        <v>558</v>
      </c>
      <c r="R12" t="s">
        <v>259</v>
      </c>
      <c r="S12" t="s">
        <v>662</v>
      </c>
      <c r="T12" t="s">
        <v>663</v>
      </c>
      <c r="U12" t="s">
        <v>664</v>
      </c>
      <c r="V12" t="s">
        <v>665</v>
      </c>
      <c r="W12" t="s">
        <v>567</v>
      </c>
      <c r="X12" t="s">
        <v>666</v>
      </c>
      <c r="Y12" s="2" t="s">
        <v>667</v>
      </c>
      <c r="Z12" s="2" t="s">
        <v>668</v>
      </c>
      <c r="AA12" t="s">
        <v>498</v>
      </c>
      <c r="AB12" t="s">
        <v>499</v>
      </c>
      <c r="AC12" t="s">
        <v>669</v>
      </c>
      <c r="AD12" s="2" t="s">
        <v>670</v>
      </c>
      <c r="AE12" t="s">
        <v>606</v>
      </c>
      <c r="AF12" t="s">
        <v>69</v>
      </c>
      <c r="AG12" s="2" t="s">
        <v>671</v>
      </c>
      <c r="AH12" s="2" t="s">
        <v>672</v>
      </c>
      <c r="AI12" s="2" t="s">
        <v>673</v>
      </c>
      <c r="AJ12" s="2" t="s">
        <v>674</v>
      </c>
      <c r="AK12" s="2" t="s">
        <v>675</v>
      </c>
      <c r="AL12" s="2" t="s">
        <v>676</v>
      </c>
      <c r="AM12" s="2" t="s">
        <v>677</v>
      </c>
      <c r="AN12" s="2" t="s">
        <v>678</v>
      </c>
      <c r="AO12" s="2" t="s">
        <v>679</v>
      </c>
      <c r="BD12" s="2" t="s">
        <v>680</v>
      </c>
      <c r="BE12" t="s">
        <v>681</v>
      </c>
      <c r="BF12" s="2" t="s">
        <v>244</v>
      </c>
      <c r="BG12" s="2" t="s">
        <v>682</v>
      </c>
      <c r="BH12" t="s">
        <v>683</v>
      </c>
      <c r="BI12" s="2" t="s">
        <v>684</v>
      </c>
      <c r="BJ12" t="s">
        <v>685</v>
      </c>
      <c r="BK12" t="s">
        <v>686</v>
      </c>
      <c r="BN12" s="8" t="s">
        <v>1557</v>
      </c>
      <c r="BO12" s="6">
        <v>100000</v>
      </c>
      <c r="BP12" s="8" t="s">
        <v>1535</v>
      </c>
      <c r="BR12" s="8" t="s">
        <v>1582</v>
      </c>
    </row>
    <row r="13" spans="1:70" ht="42.5" customHeight="1" x14ac:dyDescent="0.35">
      <c r="A13" t="s">
        <v>403</v>
      </c>
      <c r="B13" t="s">
        <v>404</v>
      </c>
      <c r="C13" t="s">
        <v>1005</v>
      </c>
      <c r="D13" t="s">
        <v>1006</v>
      </c>
      <c r="E13" t="s">
        <v>1007</v>
      </c>
      <c r="F13" t="s">
        <v>1008</v>
      </c>
      <c r="G13" t="s">
        <v>63</v>
      </c>
      <c r="H13" t="s">
        <v>64</v>
      </c>
      <c r="I13" t="s">
        <v>1009</v>
      </c>
      <c r="J13" t="s">
        <v>1010</v>
      </c>
      <c r="K13" t="s">
        <v>1011</v>
      </c>
      <c r="L13" t="s">
        <v>1012</v>
      </c>
      <c r="M13" t="s">
        <v>66</v>
      </c>
      <c r="N13" t="s">
        <v>1013</v>
      </c>
      <c r="O13" t="s">
        <v>1014</v>
      </c>
      <c r="P13" t="s">
        <v>1015</v>
      </c>
      <c r="Q13" t="s">
        <v>1016</v>
      </c>
      <c r="R13" t="s">
        <v>1017</v>
      </c>
      <c r="S13" t="s">
        <v>1004</v>
      </c>
      <c r="T13" t="s">
        <v>1018</v>
      </c>
      <c r="U13" t="s">
        <v>227</v>
      </c>
      <c r="V13" t="s">
        <v>1019</v>
      </c>
      <c r="W13" t="s">
        <v>68</v>
      </c>
      <c r="X13" t="s">
        <v>71</v>
      </c>
      <c r="Y13" s="2" t="s">
        <v>1020</v>
      </c>
      <c r="Z13" t="s">
        <v>1021</v>
      </c>
      <c r="AA13" t="s">
        <v>498</v>
      </c>
      <c r="AB13" t="s">
        <v>499</v>
      </c>
      <c r="AC13" t="s">
        <v>231</v>
      </c>
      <c r="AD13" s="2" t="s">
        <v>1022</v>
      </c>
      <c r="AE13" t="s">
        <v>101</v>
      </c>
      <c r="AF13" t="s">
        <v>69</v>
      </c>
      <c r="AG13" s="2" t="s">
        <v>1023</v>
      </c>
      <c r="AH13" s="2" t="s">
        <v>1024</v>
      </c>
      <c r="AI13" s="2" t="s">
        <v>1025</v>
      </c>
      <c r="AJ13" s="2" t="s">
        <v>1026</v>
      </c>
      <c r="AK13" s="2" t="s">
        <v>1027</v>
      </c>
      <c r="AL13" s="2" t="s">
        <v>1028</v>
      </c>
      <c r="AM13" s="2" t="s">
        <v>1029</v>
      </c>
      <c r="AN13" s="2" t="s">
        <v>1030</v>
      </c>
      <c r="AO13" s="2" t="s">
        <v>1031</v>
      </c>
      <c r="BD13" s="2" t="s">
        <v>72</v>
      </c>
      <c r="BE13" t="s">
        <v>1032</v>
      </c>
      <c r="BF13" s="2" t="s">
        <v>1033</v>
      </c>
      <c r="BG13" s="2" t="s">
        <v>1034</v>
      </c>
      <c r="BH13" t="s">
        <v>71</v>
      </c>
      <c r="BI13" s="2" t="s">
        <v>1035</v>
      </c>
      <c r="BJ13" t="s">
        <v>1036</v>
      </c>
      <c r="BN13" t="s">
        <v>1517</v>
      </c>
      <c r="BO13" s="6">
        <v>75000</v>
      </c>
      <c r="BP13" s="8" t="s">
        <v>537</v>
      </c>
      <c r="BR13" s="8" t="s">
        <v>1580</v>
      </c>
    </row>
    <row r="14" spans="1:70" ht="42.5" customHeight="1" x14ac:dyDescent="0.35">
      <c r="C14" s="20" t="s">
        <v>1539</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3" t="s">
        <v>1540</v>
      </c>
      <c r="AE14" s="20"/>
      <c r="AF14" s="20" t="s">
        <v>1536</v>
      </c>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t="s">
        <v>1517</v>
      </c>
      <c r="BO14" s="22">
        <v>150000</v>
      </c>
      <c r="BP14" s="19" t="s">
        <v>537</v>
      </c>
      <c r="BQ14" s="20"/>
      <c r="BR14" s="8" t="s">
        <v>1595</v>
      </c>
    </row>
    <row r="15" spans="1:70" ht="42.5" customHeight="1" x14ac:dyDescent="0.35">
      <c r="A15" t="s">
        <v>440</v>
      </c>
      <c r="B15" t="s">
        <v>441</v>
      </c>
      <c r="C15" t="s">
        <v>1539</v>
      </c>
      <c r="AD15" s="3" t="s">
        <v>1540</v>
      </c>
      <c r="AF15" t="s">
        <v>1536</v>
      </c>
      <c r="BN15" t="s">
        <v>1517</v>
      </c>
      <c r="BO15" s="6">
        <v>300000</v>
      </c>
      <c r="BP15" s="8" t="s">
        <v>1535</v>
      </c>
      <c r="BR15" s="8" t="s">
        <v>1585</v>
      </c>
    </row>
    <row r="16" spans="1:70" ht="42.5" customHeight="1" x14ac:dyDescent="0.35">
      <c r="A16" t="s">
        <v>440</v>
      </c>
      <c r="B16" t="s">
        <v>477</v>
      </c>
      <c r="C16" t="s">
        <v>123</v>
      </c>
      <c r="D16" t="s">
        <v>124</v>
      </c>
      <c r="E16" t="s">
        <v>125</v>
      </c>
      <c r="F16" t="s">
        <v>126</v>
      </c>
      <c r="G16" t="s">
        <v>63</v>
      </c>
      <c r="H16" t="s">
        <v>127</v>
      </c>
      <c r="I16" t="s">
        <v>128</v>
      </c>
      <c r="J16" t="s">
        <v>129</v>
      </c>
      <c r="K16" t="s">
        <v>130</v>
      </c>
      <c r="L16" t="s">
        <v>131</v>
      </c>
      <c r="M16" t="s">
        <v>132</v>
      </c>
      <c r="N16" t="s">
        <v>133</v>
      </c>
      <c r="O16" t="s">
        <v>134</v>
      </c>
      <c r="P16" t="s">
        <v>135</v>
      </c>
      <c r="Q16" t="s">
        <v>136</v>
      </c>
      <c r="R16" t="s">
        <v>137</v>
      </c>
      <c r="S16" t="s">
        <v>138</v>
      </c>
      <c r="T16" t="s">
        <v>139</v>
      </c>
      <c r="U16" t="s">
        <v>140</v>
      </c>
      <c r="V16" t="s">
        <v>141</v>
      </c>
      <c r="W16" t="s">
        <v>142</v>
      </c>
      <c r="X16" t="s">
        <v>143</v>
      </c>
      <c r="Y16" s="2" t="s">
        <v>144</v>
      </c>
      <c r="Z16" s="2" t="s">
        <v>145</v>
      </c>
      <c r="AA16" t="s">
        <v>146</v>
      </c>
      <c r="AB16" t="s">
        <v>147</v>
      </c>
      <c r="AC16" t="s">
        <v>62</v>
      </c>
      <c r="AD16" s="2" t="s">
        <v>148</v>
      </c>
      <c r="AE16" t="s">
        <v>149</v>
      </c>
      <c r="AF16" t="s">
        <v>150</v>
      </c>
      <c r="AG16" s="2" t="s">
        <v>151</v>
      </c>
      <c r="AH16" s="2" t="s">
        <v>152</v>
      </c>
      <c r="AI16" s="2" t="s">
        <v>153</v>
      </c>
      <c r="AJ16" t="s">
        <v>154</v>
      </c>
      <c r="AK16" t="s">
        <v>155</v>
      </c>
      <c r="AL16" s="2" t="s">
        <v>156</v>
      </c>
      <c r="AM16" s="2" t="s">
        <v>157</v>
      </c>
      <c r="AN16" s="2" t="s">
        <v>158</v>
      </c>
      <c r="AO16" s="2" t="s">
        <v>159</v>
      </c>
      <c r="BD16" s="2" t="s">
        <v>112</v>
      </c>
      <c r="BE16" t="s">
        <v>160</v>
      </c>
      <c r="BF16" s="2" t="s">
        <v>114</v>
      </c>
      <c r="BG16" s="2" t="s">
        <v>161</v>
      </c>
      <c r="BH16" t="s">
        <v>162</v>
      </c>
      <c r="BI16" s="2" t="s">
        <v>163</v>
      </c>
      <c r="BJ16" s="2" t="s">
        <v>164</v>
      </c>
      <c r="BK16" s="2" t="s">
        <v>165</v>
      </c>
      <c r="BL16" s="2" t="s">
        <v>166</v>
      </c>
      <c r="BM16" t="s">
        <v>167</v>
      </c>
      <c r="BN16" s="2" t="s">
        <v>166</v>
      </c>
      <c r="BO16" s="6">
        <v>100000</v>
      </c>
      <c r="BP16" s="5" t="s">
        <v>1537</v>
      </c>
      <c r="BR16" s="8" t="s">
        <v>1585</v>
      </c>
    </row>
    <row r="17" spans="1:70" s="15" customFormat="1" ht="42.5" customHeight="1" x14ac:dyDescent="0.35">
      <c r="A17" t="s">
        <v>440</v>
      </c>
      <c r="B17" t="s">
        <v>519</v>
      </c>
      <c r="C17" s="15" t="s">
        <v>1249</v>
      </c>
      <c r="D17" t="s">
        <v>1250</v>
      </c>
      <c r="E17" t="s">
        <v>1251</v>
      </c>
      <c r="F17" t="s">
        <v>1252</v>
      </c>
      <c r="G17" t="s">
        <v>63</v>
      </c>
      <c r="H17" t="s">
        <v>64</v>
      </c>
      <c r="I17" t="s">
        <v>1009</v>
      </c>
      <c r="J17" t="s">
        <v>1253</v>
      </c>
      <c r="K17" t="s">
        <v>1254</v>
      </c>
      <c r="L17" t="s">
        <v>1255</v>
      </c>
      <c r="M17" t="s">
        <v>66</v>
      </c>
      <c r="N17" t="s">
        <v>1248</v>
      </c>
      <c r="O17" t="s">
        <v>1256</v>
      </c>
      <c r="P17" t="s">
        <v>1257</v>
      </c>
      <c r="Q17" t="s">
        <v>1258</v>
      </c>
      <c r="R17" t="s">
        <v>1259</v>
      </c>
      <c r="S17" t="s">
        <v>1260</v>
      </c>
      <c r="T17" t="s">
        <v>1261</v>
      </c>
      <c r="U17" t="s">
        <v>1262</v>
      </c>
      <c r="V17" t="s">
        <v>142</v>
      </c>
      <c r="W17" t="s">
        <v>142</v>
      </c>
      <c r="X17" t="s">
        <v>735</v>
      </c>
      <c r="Y17" t="s">
        <v>1263</v>
      </c>
      <c r="Z17" t="s">
        <v>1264</v>
      </c>
      <c r="AA17" t="s">
        <v>498</v>
      </c>
      <c r="AB17" t="s">
        <v>499</v>
      </c>
      <c r="AC17" t="s">
        <v>1265</v>
      </c>
      <c r="AD17" s="16" t="s">
        <v>1266</v>
      </c>
      <c r="AE17" t="s">
        <v>1267</v>
      </c>
      <c r="AF17" s="15" t="s">
        <v>102</v>
      </c>
      <c r="AG17" s="2" t="s">
        <v>1268</v>
      </c>
      <c r="AH17" s="2" t="s">
        <v>1269</v>
      </c>
      <c r="AI17" s="2" t="s">
        <v>1270</v>
      </c>
      <c r="AJ17" s="2" t="s">
        <v>1271</v>
      </c>
      <c r="AK17" s="2" t="s">
        <v>1272</v>
      </c>
      <c r="AL17" s="2" t="s">
        <v>1273</v>
      </c>
      <c r="AM17" s="2" t="s">
        <v>1274</v>
      </c>
      <c r="AN17" s="2" t="s">
        <v>1275</v>
      </c>
      <c r="AO17" t="s">
        <v>1276</v>
      </c>
      <c r="AP17"/>
      <c r="AQ17"/>
      <c r="AR17"/>
      <c r="AS17"/>
      <c r="AT17"/>
      <c r="AU17"/>
      <c r="AV17"/>
      <c r="AW17"/>
      <c r="AX17"/>
      <c r="AY17"/>
      <c r="AZ17"/>
      <c r="BA17"/>
      <c r="BB17"/>
      <c r="BC17"/>
      <c r="BD17" t="s">
        <v>1277</v>
      </c>
      <c r="BE17" t="s">
        <v>1278</v>
      </c>
      <c r="BF17" s="2" t="s">
        <v>1033</v>
      </c>
      <c r="BG17" s="2" t="s">
        <v>1279</v>
      </c>
      <c r="BH17" t="s">
        <v>1280</v>
      </c>
      <c r="BI17" s="2" t="s">
        <v>1281</v>
      </c>
      <c r="BJ17" t="s">
        <v>1282</v>
      </c>
      <c r="BK17"/>
      <c r="BM17" t="s">
        <v>168</v>
      </c>
      <c r="BN17" s="15" t="s">
        <v>1517</v>
      </c>
      <c r="BO17" s="17">
        <v>750000</v>
      </c>
      <c r="BP17" s="18" t="s">
        <v>1530</v>
      </c>
      <c r="BR17" s="18" t="s">
        <v>1586</v>
      </c>
    </row>
    <row r="18" spans="1:70" ht="42.5" customHeight="1" x14ac:dyDescent="0.35">
      <c r="A18" t="s">
        <v>440</v>
      </c>
      <c r="B18" t="s">
        <v>519</v>
      </c>
      <c r="C18" s="15" t="s">
        <v>1249</v>
      </c>
      <c r="D18" t="s">
        <v>1250</v>
      </c>
      <c r="E18" t="s">
        <v>1251</v>
      </c>
      <c r="F18" t="s">
        <v>1252</v>
      </c>
      <c r="G18" t="s">
        <v>63</v>
      </c>
      <c r="H18" t="s">
        <v>64</v>
      </c>
      <c r="I18" t="s">
        <v>1009</v>
      </c>
      <c r="J18" t="s">
        <v>1253</v>
      </c>
      <c r="K18" t="s">
        <v>1254</v>
      </c>
      <c r="L18" t="s">
        <v>1255</v>
      </c>
      <c r="M18" t="s">
        <v>66</v>
      </c>
      <c r="N18" t="s">
        <v>1248</v>
      </c>
      <c r="O18" t="s">
        <v>1256</v>
      </c>
      <c r="P18" t="s">
        <v>1257</v>
      </c>
      <c r="Q18" t="s">
        <v>1258</v>
      </c>
      <c r="R18" t="s">
        <v>1259</v>
      </c>
      <c r="S18" t="s">
        <v>1260</v>
      </c>
      <c r="T18" t="s">
        <v>1261</v>
      </c>
      <c r="U18" t="s">
        <v>1262</v>
      </c>
      <c r="V18" t="s">
        <v>142</v>
      </c>
      <c r="W18" t="s">
        <v>142</v>
      </c>
      <c r="X18" t="s">
        <v>735</v>
      </c>
      <c r="Y18" t="s">
        <v>1263</v>
      </c>
      <c r="Z18" t="s">
        <v>1264</v>
      </c>
      <c r="AA18" t="s">
        <v>498</v>
      </c>
      <c r="AB18" t="s">
        <v>499</v>
      </c>
      <c r="AC18" t="s">
        <v>1265</v>
      </c>
      <c r="AD18" s="16" t="s">
        <v>1266</v>
      </c>
      <c r="AE18" t="s">
        <v>1267</v>
      </c>
      <c r="AF18" s="15" t="s">
        <v>102</v>
      </c>
      <c r="AG18" s="2" t="s">
        <v>1268</v>
      </c>
      <c r="AH18" s="2" t="s">
        <v>1269</v>
      </c>
      <c r="AI18" s="2" t="s">
        <v>1270</v>
      </c>
      <c r="AJ18" s="2" t="s">
        <v>1271</v>
      </c>
      <c r="AK18" s="2" t="s">
        <v>1272</v>
      </c>
      <c r="AL18" s="2" t="s">
        <v>1273</v>
      </c>
      <c r="AM18" s="2" t="s">
        <v>1274</v>
      </c>
      <c r="AN18" s="2" t="s">
        <v>1275</v>
      </c>
      <c r="AO18" t="s">
        <v>1276</v>
      </c>
      <c r="BD18" t="s">
        <v>1277</v>
      </c>
      <c r="BE18" t="s">
        <v>1278</v>
      </c>
      <c r="BF18" s="2" t="s">
        <v>1033</v>
      </c>
      <c r="BG18" s="2" t="s">
        <v>1279</v>
      </c>
      <c r="BH18" t="s">
        <v>1280</v>
      </c>
      <c r="BI18" s="2" t="s">
        <v>1281</v>
      </c>
      <c r="BJ18" t="s">
        <v>1282</v>
      </c>
      <c r="BL18" s="15"/>
      <c r="BM18" t="s">
        <v>168</v>
      </c>
      <c r="BN18" s="15" t="s">
        <v>1517</v>
      </c>
      <c r="BO18" s="17">
        <v>500000</v>
      </c>
      <c r="BP18" s="18" t="s">
        <v>1530</v>
      </c>
      <c r="BQ18" s="15"/>
      <c r="BR18" s="18" t="s">
        <v>1595</v>
      </c>
    </row>
    <row r="19" spans="1:70" s="15" customFormat="1" ht="42.5" customHeight="1" x14ac:dyDescent="0.35">
      <c r="A19" t="s">
        <v>440</v>
      </c>
      <c r="B19" t="s">
        <v>551</v>
      </c>
      <c r="C19" s="15" t="s">
        <v>1178</v>
      </c>
      <c r="D19" t="s">
        <v>1179</v>
      </c>
      <c r="E19" t="s">
        <v>1180</v>
      </c>
      <c r="F19" t="s">
        <v>1181</v>
      </c>
      <c r="G19" t="s">
        <v>63</v>
      </c>
      <c r="H19" t="s">
        <v>64</v>
      </c>
      <c r="I19" t="s">
        <v>1182</v>
      </c>
      <c r="J19" t="s">
        <v>1183</v>
      </c>
      <c r="K19" t="s">
        <v>1184</v>
      </c>
      <c r="L19" t="s">
        <v>1185</v>
      </c>
      <c r="M19" t="s">
        <v>842</v>
      </c>
      <c r="N19" t="s">
        <v>1186</v>
      </c>
      <c r="O19" t="s">
        <v>1187</v>
      </c>
      <c r="P19" t="s">
        <v>1188</v>
      </c>
      <c r="Q19" t="s">
        <v>1189</v>
      </c>
      <c r="R19" t="s">
        <v>342</v>
      </c>
      <c r="S19" t="s">
        <v>1190</v>
      </c>
      <c r="T19" t="s">
        <v>1187</v>
      </c>
      <c r="U19" t="s">
        <v>1170</v>
      </c>
      <c r="V19" t="s">
        <v>1191</v>
      </c>
      <c r="W19" t="s">
        <v>142</v>
      </c>
      <c r="X19" t="s">
        <v>1192</v>
      </c>
      <c r="Y19" s="2" t="s">
        <v>1193</v>
      </c>
      <c r="Z19" s="2" t="s">
        <v>1194</v>
      </c>
      <c r="AA19" t="s">
        <v>498</v>
      </c>
      <c r="AB19" t="s">
        <v>499</v>
      </c>
      <c r="AC19" t="s">
        <v>1195</v>
      </c>
      <c r="AD19" s="16" t="s">
        <v>1196</v>
      </c>
      <c r="AE19" t="s">
        <v>853</v>
      </c>
      <c r="AF19" s="15" t="s">
        <v>69</v>
      </c>
      <c r="AG19" s="2" t="s">
        <v>1197</v>
      </c>
      <c r="AH19" s="2" t="s">
        <v>1198</v>
      </c>
      <c r="AI19" s="2" t="s">
        <v>1199</v>
      </c>
      <c r="AJ19" s="2" t="s">
        <v>1200</v>
      </c>
      <c r="AK19" s="2" t="s">
        <v>1201</v>
      </c>
      <c r="AL19" s="2" t="s">
        <v>1202</v>
      </c>
      <c r="AM19" s="2" t="s">
        <v>1203</v>
      </c>
      <c r="AN19" s="2" t="s">
        <v>1204</v>
      </c>
      <c r="AO19" t="s">
        <v>62</v>
      </c>
      <c r="AP19" t="s">
        <v>70</v>
      </c>
      <c r="AQ19"/>
      <c r="AR19"/>
      <c r="AS19"/>
      <c r="AT19"/>
      <c r="AU19"/>
      <c r="AV19"/>
      <c r="AW19"/>
      <c r="AX19"/>
      <c r="AY19"/>
      <c r="AZ19"/>
      <c r="BA19"/>
      <c r="BB19"/>
      <c r="BC19"/>
      <c r="BD19" s="2" t="s">
        <v>72</v>
      </c>
      <c r="BE19" t="s">
        <v>1205</v>
      </c>
      <c r="BF19" s="2" t="s">
        <v>1206</v>
      </c>
      <c r="BG19" s="2" t="s">
        <v>1207</v>
      </c>
      <c r="BH19" t="s">
        <v>1205</v>
      </c>
      <c r="BI19" s="2" t="s">
        <v>1208</v>
      </c>
      <c r="BJ19" t="s">
        <v>1209</v>
      </c>
      <c r="BK19"/>
      <c r="BM19" t="s">
        <v>1518</v>
      </c>
      <c r="BN19" s="15" t="s">
        <v>1517</v>
      </c>
      <c r="BO19" s="17">
        <v>25000</v>
      </c>
      <c r="BP19" s="18" t="s">
        <v>537</v>
      </c>
      <c r="BR19" s="18" t="s">
        <v>1586</v>
      </c>
    </row>
    <row r="20" spans="1:70" ht="42.5" customHeight="1" x14ac:dyDescent="0.35">
      <c r="A20" t="s">
        <v>440</v>
      </c>
      <c r="B20" t="s">
        <v>551</v>
      </c>
      <c r="C20" s="15" t="s">
        <v>1178</v>
      </c>
      <c r="D20" t="s">
        <v>1179</v>
      </c>
      <c r="E20" t="s">
        <v>1180</v>
      </c>
      <c r="F20" t="s">
        <v>1181</v>
      </c>
      <c r="G20" t="s">
        <v>63</v>
      </c>
      <c r="H20" t="s">
        <v>64</v>
      </c>
      <c r="I20" t="s">
        <v>1182</v>
      </c>
      <c r="J20" t="s">
        <v>1183</v>
      </c>
      <c r="K20" t="s">
        <v>1184</v>
      </c>
      <c r="L20" t="s">
        <v>1185</v>
      </c>
      <c r="M20" t="s">
        <v>842</v>
      </c>
      <c r="N20" t="s">
        <v>1186</v>
      </c>
      <c r="O20" t="s">
        <v>1187</v>
      </c>
      <c r="P20" t="s">
        <v>1188</v>
      </c>
      <c r="Q20" t="s">
        <v>1189</v>
      </c>
      <c r="R20" t="s">
        <v>342</v>
      </c>
      <c r="S20" t="s">
        <v>1190</v>
      </c>
      <c r="T20" t="s">
        <v>1187</v>
      </c>
      <c r="U20" t="s">
        <v>1170</v>
      </c>
      <c r="V20" t="s">
        <v>1191</v>
      </c>
      <c r="W20" t="s">
        <v>142</v>
      </c>
      <c r="X20" t="s">
        <v>1192</v>
      </c>
      <c r="Y20" s="2" t="s">
        <v>1193</v>
      </c>
      <c r="Z20" s="2" t="s">
        <v>1194</v>
      </c>
      <c r="AA20" t="s">
        <v>498</v>
      </c>
      <c r="AB20" t="s">
        <v>499</v>
      </c>
      <c r="AC20" t="s">
        <v>1195</v>
      </c>
      <c r="AD20" s="16" t="s">
        <v>1196</v>
      </c>
      <c r="AE20" t="s">
        <v>853</v>
      </c>
      <c r="AF20" s="15" t="s">
        <v>69</v>
      </c>
      <c r="AG20" s="2" t="s">
        <v>1197</v>
      </c>
      <c r="AH20" s="2" t="s">
        <v>1198</v>
      </c>
      <c r="AI20" s="2" t="s">
        <v>1199</v>
      </c>
      <c r="AJ20" s="2" t="s">
        <v>1200</v>
      </c>
      <c r="AK20" s="2" t="s">
        <v>1201</v>
      </c>
      <c r="AL20" s="2" t="s">
        <v>1202</v>
      </c>
      <c r="AM20" s="2" t="s">
        <v>1203</v>
      </c>
      <c r="AN20" s="2" t="s">
        <v>1204</v>
      </c>
      <c r="AO20" t="s">
        <v>62</v>
      </c>
      <c r="AP20" t="s">
        <v>70</v>
      </c>
      <c r="BD20" s="2" t="s">
        <v>72</v>
      </c>
      <c r="BE20" t="s">
        <v>1205</v>
      </c>
      <c r="BF20" s="2" t="s">
        <v>1206</v>
      </c>
      <c r="BG20" s="2" t="s">
        <v>1207</v>
      </c>
      <c r="BH20" t="s">
        <v>1205</v>
      </c>
      <c r="BI20" s="2" t="s">
        <v>1208</v>
      </c>
      <c r="BJ20" t="s">
        <v>1209</v>
      </c>
      <c r="BL20" s="15"/>
      <c r="BM20" t="s">
        <v>1518</v>
      </c>
      <c r="BN20" s="15" t="s">
        <v>1517</v>
      </c>
      <c r="BO20" s="17">
        <v>25000</v>
      </c>
      <c r="BP20" s="18" t="s">
        <v>537</v>
      </c>
      <c r="BQ20" s="15"/>
      <c r="BR20" s="18" t="s">
        <v>1595</v>
      </c>
    </row>
    <row r="21" spans="1:70" s="15" customFormat="1" ht="42.5" customHeight="1" x14ac:dyDescent="0.35">
      <c r="A21" t="s">
        <v>440</v>
      </c>
      <c r="B21" t="s">
        <v>586</v>
      </c>
      <c r="C21" s="15" t="s">
        <v>1285</v>
      </c>
      <c r="D21" t="s">
        <v>1286</v>
      </c>
      <c r="E21" t="s">
        <v>1287</v>
      </c>
      <c r="F21" t="s">
        <v>905</v>
      </c>
      <c r="G21" t="s">
        <v>1175</v>
      </c>
      <c r="H21" t="s">
        <v>64</v>
      </c>
      <c r="I21" t="s">
        <v>1215</v>
      </c>
      <c r="J21" t="s">
        <v>1288</v>
      </c>
      <c r="K21" t="s">
        <v>1289</v>
      </c>
      <c r="L21" t="s">
        <v>1290</v>
      </c>
      <c r="M21" t="s">
        <v>1291</v>
      </c>
      <c r="N21" t="s">
        <v>1284</v>
      </c>
      <c r="O21" t="s">
        <v>1292</v>
      </c>
      <c r="P21" t="s">
        <v>1293</v>
      </c>
      <c r="Q21" t="s">
        <v>1294</v>
      </c>
      <c r="R21" t="s">
        <v>416</v>
      </c>
      <c r="S21" t="s">
        <v>1295</v>
      </c>
      <c r="T21" t="s">
        <v>1296</v>
      </c>
      <c r="U21" t="s">
        <v>1297</v>
      </c>
      <c r="V21" t="s">
        <v>1298</v>
      </c>
      <c r="W21" t="s">
        <v>971</v>
      </c>
      <c r="X21" t="s">
        <v>1299</v>
      </c>
      <c r="Y21" s="2" t="s">
        <v>1300</v>
      </c>
      <c r="Z21" t="s">
        <v>1301</v>
      </c>
      <c r="AA21" t="s">
        <v>498</v>
      </c>
      <c r="AB21" t="s">
        <v>499</v>
      </c>
      <c r="AC21" t="s">
        <v>231</v>
      </c>
      <c r="AD21" s="16" t="s">
        <v>1302</v>
      </c>
      <c r="AE21" t="s">
        <v>273</v>
      </c>
      <c r="AF21" s="15" t="s">
        <v>69</v>
      </c>
      <c r="AG21" s="2" t="s">
        <v>1303</v>
      </c>
      <c r="AH21" s="2" t="s">
        <v>1304</v>
      </c>
      <c r="AI21" s="2" t="s">
        <v>1305</v>
      </c>
      <c r="AJ21" s="2" t="s">
        <v>1306</v>
      </c>
      <c r="AK21" s="2" t="s">
        <v>1307</v>
      </c>
      <c r="AL21" s="2" t="s">
        <v>1308</v>
      </c>
      <c r="AM21" s="2" t="s">
        <v>1309</v>
      </c>
      <c r="AN21" s="2" t="s">
        <v>1310</v>
      </c>
      <c r="AO21" s="2" t="s">
        <v>1311</v>
      </c>
      <c r="AP21" t="s">
        <v>70</v>
      </c>
      <c r="AQ21" t="s">
        <v>399</v>
      </c>
      <c r="AR21" t="s">
        <v>70</v>
      </c>
      <c r="AS21" t="s">
        <v>310</v>
      </c>
      <c r="AT21"/>
      <c r="AU21"/>
      <c r="AV21"/>
      <c r="AW21"/>
      <c r="AX21"/>
      <c r="AY21"/>
      <c r="AZ21"/>
      <c r="BA21"/>
      <c r="BB21"/>
      <c r="BC21"/>
      <c r="BD21" s="2" t="s">
        <v>242</v>
      </c>
      <c r="BE21" t="s">
        <v>1312</v>
      </c>
      <c r="BF21" s="2" t="s">
        <v>244</v>
      </c>
      <c r="BG21" s="2" t="s">
        <v>206</v>
      </c>
      <c r="BH21" t="s">
        <v>71</v>
      </c>
      <c r="BI21" s="2" t="s">
        <v>1313</v>
      </c>
      <c r="BJ21" s="2" t="s">
        <v>1314</v>
      </c>
      <c r="BK21"/>
      <c r="BM21" t="s">
        <v>1175</v>
      </c>
      <c r="BN21" s="18" t="s">
        <v>1564</v>
      </c>
      <c r="BO21" s="17">
        <v>150000</v>
      </c>
      <c r="BP21" s="18" t="s">
        <v>1535</v>
      </c>
      <c r="BR21" s="18" t="s">
        <v>1586</v>
      </c>
    </row>
    <row r="22" spans="1:70" ht="42.5" customHeight="1" x14ac:dyDescent="0.35">
      <c r="A22" t="s">
        <v>440</v>
      </c>
      <c r="B22" t="s">
        <v>586</v>
      </c>
      <c r="C22" s="15" t="s">
        <v>1285</v>
      </c>
      <c r="D22" t="s">
        <v>1286</v>
      </c>
      <c r="E22" t="s">
        <v>1287</v>
      </c>
      <c r="F22" t="s">
        <v>905</v>
      </c>
      <c r="G22" t="s">
        <v>1175</v>
      </c>
      <c r="H22" t="s">
        <v>64</v>
      </c>
      <c r="I22" t="s">
        <v>1215</v>
      </c>
      <c r="J22" t="s">
        <v>1288</v>
      </c>
      <c r="K22" t="s">
        <v>1289</v>
      </c>
      <c r="L22" t="s">
        <v>1290</v>
      </c>
      <c r="M22" t="s">
        <v>1291</v>
      </c>
      <c r="N22" t="s">
        <v>1284</v>
      </c>
      <c r="O22" t="s">
        <v>1292</v>
      </c>
      <c r="P22" t="s">
        <v>1293</v>
      </c>
      <c r="Q22" t="s">
        <v>1294</v>
      </c>
      <c r="R22" t="s">
        <v>416</v>
      </c>
      <c r="S22" t="s">
        <v>1295</v>
      </c>
      <c r="T22" t="s">
        <v>1296</v>
      </c>
      <c r="U22" t="s">
        <v>1297</v>
      </c>
      <c r="V22" t="s">
        <v>1298</v>
      </c>
      <c r="W22" t="s">
        <v>971</v>
      </c>
      <c r="X22" t="s">
        <v>1299</v>
      </c>
      <c r="Y22" s="2" t="s">
        <v>1300</v>
      </c>
      <c r="Z22" t="s">
        <v>1301</v>
      </c>
      <c r="AA22" t="s">
        <v>498</v>
      </c>
      <c r="AB22" t="s">
        <v>499</v>
      </c>
      <c r="AC22" t="s">
        <v>231</v>
      </c>
      <c r="AD22" s="16" t="s">
        <v>1302</v>
      </c>
      <c r="AE22" t="s">
        <v>273</v>
      </c>
      <c r="AF22" s="15" t="s">
        <v>69</v>
      </c>
      <c r="AG22" s="2" t="s">
        <v>1303</v>
      </c>
      <c r="AH22" s="2" t="s">
        <v>1304</v>
      </c>
      <c r="AI22" s="2" t="s">
        <v>1305</v>
      </c>
      <c r="AJ22" s="2" t="s">
        <v>1306</v>
      </c>
      <c r="AK22" s="2" t="s">
        <v>1307</v>
      </c>
      <c r="AL22" s="2" t="s">
        <v>1308</v>
      </c>
      <c r="AM22" s="2" t="s">
        <v>1309</v>
      </c>
      <c r="AN22" s="2" t="s">
        <v>1310</v>
      </c>
      <c r="AO22" s="2" t="s">
        <v>1311</v>
      </c>
      <c r="AP22" t="s">
        <v>70</v>
      </c>
      <c r="AQ22" t="s">
        <v>399</v>
      </c>
      <c r="AR22" t="s">
        <v>70</v>
      </c>
      <c r="AS22" t="s">
        <v>310</v>
      </c>
      <c r="BD22" s="2" t="s">
        <v>242</v>
      </c>
      <c r="BE22" t="s">
        <v>1312</v>
      </c>
      <c r="BF22" s="2" t="s">
        <v>244</v>
      </c>
      <c r="BG22" s="2" t="s">
        <v>206</v>
      </c>
      <c r="BH22" t="s">
        <v>71</v>
      </c>
      <c r="BI22" s="2" t="s">
        <v>1313</v>
      </c>
      <c r="BJ22" s="2" t="s">
        <v>1314</v>
      </c>
      <c r="BL22" s="15"/>
      <c r="BM22" t="s">
        <v>1175</v>
      </c>
      <c r="BN22" s="18" t="s">
        <v>1564</v>
      </c>
      <c r="BO22" s="17">
        <v>150000</v>
      </c>
      <c r="BP22" s="18" t="s">
        <v>1535</v>
      </c>
      <c r="BQ22" s="15"/>
      <c r="BR22" s="18" t="s">
        <v>1595</v>
      </c>
    </row>
    <row r="23" spans="1:70" ht="42.5" customHeight="1" x14ac:dyDescent="0.35">
      <c r="A23" t="s">
        <v>440</v>
      </c>
      <c r="B23" t="s">
        <v>588</v>
      </c>
      <c r="C23" t="s">
        <v>1074</v>
      </c>
      <c r="D23" t="s">
        <v>1075</v>
      </c>
      <c r="E23" t="s">
        <v>1076</v>
      </c>
      <c r="F23" t="s">
        <v>1077</v>
      </c>
      <c r="G23" t="s">
        <v>63</v>
      </c>
      <c r="H23" t="s">
        <v>64</v>
      </c>
      <c r="I23" t="s">
        <v>1078</v>
      </c>
      <c r="J23" t="s">
        <v>1079</v>
      </c>
      <c r="K23" t="s">
        <v>1080</v>
      </c>
      <c r="L23" t="s">
        <v>1081</v>
      </c>
      <c r="M23" t="s">
        <v>1082</v>
      </c>
      <c r="N23" t="s">
        <v>1073</v>
      </c>
      <c r="O23" t="s">
        <v>1083</v>
      </c>
      <c r="P23" t="s">
        <v>1084</v>
      </c>
      <c r="Q23" t="s">
        <v>1085</v>
      </c>
      <c r="R23" t="s">
        <v>416</v>
      </c>
      <c r="S23" t="s">
        <v>1086</v>
      </c>
      <c r="T23" t="s">
        <v>1087</v>
      </c>
      <c r="U23" t="s">
        <v>348</v>
      </c>
      <c r="V23" t="s">
        <v>1088</v>
      </c>
      <c r="W23" t="s">
        <v>268</v>
      </c>
      <c r="X23" t="s">
        <v>71</v>
      </c>
      <c r="Y23" s="2" t="s">
        <v>1089</v>
      </c>
      <c r="Z23" t="s">
        <v>1090</v>
      </c>
      <c r="AA23" t="s">
        <v>498</v>
      </c>
      <c r="AB23" t="s">
        <v>499</v>
      </c>
      <c r="AC23" t="s">
        <v>1091</v>
      </c>
      <c r="AD23" s="2" t="s">
        <v>1092</v>
      </c>
      <c r="AE23" t="s">
        <v>149</v>
      </c>
      <c r="AF23" t="s">
        <v>69</v>
      </c>
      <c r="AG23" s="2" t="s">
        <v>1093</v>
      </c>
      <c r="AH23" s="2" t="s">
        <v>1094</v>
      </c>
      <c r="AI23" s="2" t="s">
        <v>1095</v>
      </c>
      <c r="AJ23" s="2" t="s">
        <v>1096</v>
      </c>
      <c r="AK23" s="2" t="s">
        <v>1097</v>
      </c>
      <c r="AL23" s="2" t="s">
        <v>1098</v>
      </c>
      <c r="AM23" s="2" t="s">
        <v>1099</v>
      </c>
      <c r="AN23" s="2" t="s">
        <v>1100</v>
      </c>
      <c r="AO23" s="2" t="s">
        <v>1101</v>
      </c>
      <c r="BD23" s="2" t="s">
        <v>112</v>
      </c>
      <c r="BE23" t="s">
        <v>863</v>
      </c>
      <c r="BF23" s="2" t="s">
        <v>1033</v>
      </c>
      <c r="BG23" s="2" t="s">
        <v>245</v>
      </c>
      <c r="BH23" t="s">
        <v>71</v>
      </c>
      <c r="BI23" s="2" t="s">
        <v>1102</v>
      </c>
      <c r="BJ23" s="2" t="s">
        <v>1103</v>
      </c>
      <c r="BN23" t="s">
        <v>291</v>
      </c>
      <c r="BO23" s="6">
        <v>125000</v>
      </c>
      <c r="BP23" s="8" t="s">
        <v>1535</v>
      </c>
      <c r="BR23" s="8" t="s">
        <v>1580</v>
      </c>
    </row>
    <row r="24" spans="1:70" ht="42.5" customHeight="1" x14ac:dyDescent="0.35">
      <c r="C24" s="8" t="s">
        <v>1558</v>
      </c>
      <c r="Y24" s="2"/>
      <c r="AD24" s="3" t="s">
        <v>1540</v>
      </c>
      <c r="AG24" s="2"/>
      <c r="AH24" s="2"/>
      <c r="AI24" s="2"/>
      <c r="AJ24" s="2"/>
      <c r="AK24" s="2"/>
      <c r="AL24" s="2"/>
      <c r="AM24" s="2"/>
      <c r="AN24" s="2"/>
      <c r="AO24" s="2"/>
      <c r="BD24" s="2"/>
      <c r="BF24" s="2"/>
      <c r="BG24" s="2"/>
      <c r="BI24" s="2"/>
      <c r="BJ24" s="2"/>
      <c r="BN24" s="8" t="s">
        <v>1517</v>
      </c>
      <c r="BO24" s="6">
        <v>150000</v>
      </c>
      <c r="BP24" s="8" t="s">
        <v>537</v>
      </c>
      <c r="BQ24" s="8" t="s">
        <v>1541</v>
      </c>
      <c r="BR24" s="8" t="s">
        <v>1582</v>
      </c>
    </row>
    <row r="25" spans="1:70" ht="42.5" customHeight="1" x14ac:dyDescent="0.35">
      <c r="C25" s="8" t="s">
        <v>1575</v>
      </c>
      <c r="Y25" s="2"/>
      <c r="AD25" s="3"/>
      <c r="AF25" s="8" t="s">
        <v>150</v>
      </c>
      <c r="AG25" s="2"/>
      <c r="AH25" s="2"/>
      <c r="AI25" s="2"/>
      <c r="AJ25" s="2"/>
      <c r="AK25" s="2"/>
      <c r="AL25" s="2"/>
      <c r="AM25" s="2"/>
      <c r="AN25" s="2"/>
      <c r="AO25" s="2"/>
      <c r="BD25" s="2"/>
      <c r="BF25" s="2"/>
      <c r="BG25" s="2"/>
      <c r="BI25" s="2"/>
      <c r="BJ25" s="2"/>
      <c r="BN25" s="8" t="s">
        <v>1576</v>
      </c>
      <c r="BO25" s="6">
        <v>50000</v>
      </c>
      <c r="BP25" s="8" t="s">
        <v>1535</v>
      </c>
      <c r="BQ25" s="8"/>
      <c r="BR25" s="8" t="s">
        <v>1582</v>
      </c>
    </row>
    <row r="26" spans="1:70" s="15" customFormat="1" ht="42.5" customHeight="1" x14ac:dyDescent="0.35">
      <c r="A26" t="s">
        <v>621</v>
      </c>
      <c r="B26" t="s">
        <v>622</v>
      </c>
      <c r="C26" s="15" t="s">
        <v>1212</v>
      </c>
      <c r="D26" s="20" t="s">
        <v>1213</v>
      </c>
      <c r="E26" s="20" t="s">
        <v>1214</v>
      </c>
      <c r="F26" s="20" t="s">
        <v>445</v>
      </c>
      <c r="G26" s="20" t="s">
        <v>1175</v>
      </c>
      <c r="H26" s="20" t="s">
        <v>64</v>
      </c>
      <c r="I26" s="20" t="s">
        <v>1215</v>
      </c>
      <c r="J26" s="20" t="s">
        <v>1216</v>
      </c>
      <c r="K26" s="20" t="s">
        <v>1217</v>
      </c>
      <c r="L26" s="20" t="s">
        <v>1218</v>
      </c>
      <c r="M26" s="20" t="s">
        <v>1219</v>
      </c>
      <c r="N26" s="20" t="s">
        <v>1211</v>
      </c>
      <c r="O26" s="20" t="s">
        <v>1220</v>
      </c>
      <c r="P26" s="20" t="s">
        <v>1221</v>
      </c>
      <c r="Q26" s="20" t="s">
        <v>1222</v>
      </c>
      <c r="R26" s="20" t="s">
        <v>1223</v>
      </c>
      <c r="S26" s="20" t="s">
        <v>1224</v>
      </c>
      <c r="T26" s="20" t="s">
        <v>1225</v>
      </c>
      <c r="U26" s="20" t="s">
        <v>1226</v>
      </c>
      <c r="V26" s="20" t="s">
        <v>1227</v>
      </c>
      <c r="W26" s="20" t="s">
        <v>1228</v>
      </c>
      <c r="X26" s="20" t="s">
        <v>1228</v>
      </c>
      <c r="Y26" s="21" t="s">
        <v>1229</v>
      </c>
      <c r="Z26" s="21" t="s">
        <v>1230</v>
      </c>
      <c r="AA26" s="20" t="s">
        <v>146</v>
      </c>
      <c r="AB26" s="20" t="s">
        <v>314</v>
      </c>
      <c r="AC26" s="20" t="s">
        <v>1231</v>
      </c>
      <c r="AE26" s="20" t="s">
        <v>1232</v>
      </c>
      <c r="AF26" s="15" t="s">
        <v>150</v>
      </c>
      <c r="AG26" s="21" t="s">
        <v>1233</v>
      </c>
      <c r="AH26" s="21" t="s">
        <v>1234</v>
      </c>
      <c r="AI26" s="21" t="s">
        <v>1235</v>
      </c>
      <c r="AJ26" s="20" t="s">
        <v>1236</v>
      </c>
      <c r="AK26" s="21" t="s">
        <v>1237</v>
      </c>
      <c r="AL26" s="21" t="s">
        <v>1238</v>
      </c>
      <c r="AM26" s="21" t="s">
        <v>1239</v>
      </c>
      <c r="AN26" s="21" t="s">
        <v>1240</v>
      </c>
      <c r="AO26" s="21" t="s">
        <v>1241</v>
      </c>
      <c r="AP26" s="20" t="s">
        <v>70</v>
      </c>
      <c r="AQ26" s="20" t="s">
        <v>1242</v>
      </c>
      <c r="AR26" s="20" t="s">
        <v>70</v>
      </c>
      <c r="AS26" s="20" t="s">
        <v>1242</v>
      </c>
      <c r="AT26" s="20" t="s">
        <v>70</v>
      </c>
      <c r="AU26" s="20" t="s">
        <v>1242</v>
      </c>
      <c r="AV26" s="20"/>
      <c r="AW26" s="20"/>
      <c r="AX26" s="20"/>
      <c r="AY26" s="20"/>
      <c r="AZ26" s="20"/>
      <c r="BA26" s="20"/>
      <c r="BB26" s="20"/>
      <c r="BC26" s="20"/>
      <c r="BD26" s="21" t="s">
        <v>72</v>
      </c>
      <c r="BE26" s="20" t="s">
        <v>1243</v>
      </c>
      <c r="BF26" s="21" t="s">
        <v>1244</v>
      </c>
      <c r="BG26" s="21" t="s">
        <v>1207</v>
      </c>
      <c r="BH26" s="20" t="s">
        <v>1245</v>
      </c>
      <c r="BI26" s="21" t="s">
        <v>1246</v>
      </c>
      <c r="BJ26" s="20" t="s">
        <v>1247</v>
      </c>
      <c r="BK26" s="20"/>
      <c r="BM26" s="20" t="s">
        <v>1215</v>
      </c>
      <c r="BN26" s="15" t="s">
        <v>1175</v>
      </c>
      <c r="BO26" s="17">
        <v>310500</v>
      </c>
      <c r="BP26" s="18" t="s">
        <v>1530</v>
      </c>
      <c r="BR26" s="18" t="s">
        <v>1586</v>
      </c>
    </row>
    <row r="27" spans="1:70" ht="42.5" customHeight="1" x14ac:dyDescent="0.35">
      <c r="A27" t="s">
        <v>621</v>
      </c>
      <c r="B27" t="s">
        <v>622</v>
      </c>
      <c r="C27" s="15" t="s">
        <v>1212</v>
      </c>
      <c r="D27" s="20" t="s">
        <v>1213</v>
      </c>
      <c r="E27" s="20" t="s">
        <v>1214</v>
      </c>
      <c r="F27" s="20" t="s">
        <v>445</v>
      </c>
      <c r="G27" s="20" t="s">
        <v>1175</v>
      </c>
      <c r="H27" s="20" t="s">
        <v>64</v>
      </c>
      <c r="I27" s="20" t="s">
        <v>1215</v>
      </c>
      <c r="J27" s="20" t="s">
        <v>1216</v>
      </c>
      <c r="K27" s="20" t="s">
        <v>1217</v>
      </c>
      <c r="L27" s="20" t="s">
        <v>1218</v>
      </c>
      <c r="M27" s="20" t="s">
        <v>1219</v>
      </c>
      <c r="N27" s="20" t="s">
        <v>1211</v>
      </c>
      <c r="O27" s="20" t="s">
        <v>1220</v>
      </c>
      <c r="P27" s="20" t="s">
        <v>1221</v>
      </c>
      <c r="Q27" s="20" t="s">
        <v>1222</v>
      </c>
      <c r="R27" s="20" t="s">
        <v>1223</v>
      </c>
      <c r="S27" s="20" t="s">
        <v>1224</v>
      </c>
      <c r="T27" s="20" t="s">
        <v>1225</v>
      </c>
      <c r="U27" s="20" t="s">
        <v>1226</v>
      </c>
      <c r="V27" s="20" t="s">
        <v>1227</v>
      </c>
      <c r="W27" s="20" t="s">
        <v>1228</v>
      </c>
      <c r="X27" s="20" t="s">
        <v>1228</v>
      </c>
      <c r="Y27" s="21" t="s">
        <v>1229</v>
      </c>
      <c r="Z27" s="21" t="s">
        <v>1230</v>
      </c>
      <c r="AA27" s="20" t="s">
        <v>146</v>
      </c>
      <c r="AB27" s="20" t="s">
        <v>314</v>
      </c>
      <c r="AC27" s="20" t="s">
        <v>1231</v>
      </c>
      <c r="AD27" s="15"/>
      <c r="AE27" s="20" t="s">
        <v>1232</v>
      </c>
      <c r="AF27" s="15" t="s">
        <v>150</v>
      </c>
      <c r="AG27" s="21" t="s">
        <v>1233</v>
      </c>
      <c r="AH27" s="21" t="s">
        <v>1234</v>
      </c>
      <c r="AI27" s="21" t="s">
        <v>1235</v>
      </c>
      <c r="AJ27" s="20" t="s">
        <v>1236</v>
      </c>
      <c r="AK27" s="21" t="s">
        <v>1237</v>
      </c>
      <c r="AL27" s="21" t="s">
        <v>1238</v>
      </c>
      <c r="AM27" s="21" t="s">
        <v>1239</v>
      </c>
      <c r="AN27" s="21" t="s">
        <v>1240</v>
      </c>
      <c r="AO27" s="21" t="s">
        <v>1241</v>
      </c>
      <c r="AP27" s="20" t="s">
        <v>70</v>
      </c>
      <c r="AQ27" s="20" t="s">
        <v>1242</v>
      </c>
      <c r="AR27" s="20" t="s">
        <v>70</v>
      </c>
      <c r="AS27" s="20" t="s">
        <v>1242</v>
      </c>
      <c r="AT27" s="20" t="s">
        <v>70</v>
      </c>
      <c r="AU27" s="20" t="s">
        <v>1242</v>
      </c>
      <c r="AV27" s="20"/>
      <c r="AW27" s="20"/>
      <c r="AX27" s="20"/>
      <c r="AY27" s="20"/>
      <c r="AZ27" s="20"/>
      <c r="BA27" s="20"/>
      <c r="BB27" s="20"/>
      <c r="BC27" s="20"/>
      <c r="BD27" s="21" t="s">
        <v>72</v>
      </c>
      <c r="BE27" s="20" t="s">
        <v>1243</v>
      </c>
      <c r="BF27" s="21" t="s">
        <v>1244</v>
      </c>
      <c r="BG27" s="21" t="s">
        <v>1207</v>
      </c>
      <c r="BH27" s="20" t="s">
        <v>1245</v>
      </c>
      <c r="BI27" s="21" t="s">
        <v>1246</v>
      </c>
      <c r="BJ27" s="20" t="s">
        <v>1247</v>
      </c>
      <c r="BK27" s="20"/>
      <c r="BL27" s="15"/>
      <c r="BM27" s="20" t="s">
        <v>1215</v>
      </c>
      <c r="BN27" s="15" t="s">
        <v>1175</v>
      </c>
      <c r="BO27" s="17">
        <v>560499</v>
      </c>
      <c r="BP27" s="18" t="s">
        <v>1530</v>
      </c>
      <c r="BQ27" s="15"/>
      <c r="BR27" s="18" t="s">
        <v>1595</v>
      </c>
    </row>
    <row r="28" spans="1:70" ht="42.5" customHeight="1" x14ac:dyDescent="0.35">
      <c r="A28" t="s">
        <v>621</v>
      </c>
      <c r="B28" t="s">
        <v>651</v>
      </c>
      <c r="C28" t="s">
        <v>1105</v>
      </c>
      <c r="D28" t="s">
        <v>1106</v>
      </c>
      <c r="E28" t="s">
        <v>1107</v>
      </c>
      <c r="F28" t="s">
        <v>1108</v>
      </c>
      <c r="G28" t="s">
        <v>63</v>
      </c>
      <c r="H28" t="s">
        <v>64</v>
      </c>
      <c r="I28" t="s">
        <v>481</v>
      </c>
      <c r="J28" t="s">
        <v>1109</v>
      </c>
      <c r="K28" t="s">
        <v>1110</v>
      </c>
      <c r="L28" t="s">
        <v>1111</v>
      </c>
      <c r="M28" t="s">
        <v>1112</v>
      </c>
      <c r="N28" t="s">
        <v>1113</v>
      </c>
      <c r="O28" t="s">
        <v>1114</v>
      </c>
      <c r="P28" t="s">
        <v>766</v>
      </c>
      <c r="Q28" t="s">
        <v>1115</v>
      </c>
      <c r="R28" t="s">
        <v>1116</v>
      </c>
      <c r="S28" t="s">
        <v>1104</v>
      </c>
      <c r="T28" t="s">
        <v>1117</v>
      </c>
      <c r="U28" t="s">
        <v>1118</v>
      </c>
      <c r="V28" t="s">
        <v>1119</v>
      </c>
      <c r="W28" t="s">
        <v>701</v>
      </c>
      <c r="X28" t="s">
        <v>1120</v>
      </c>
      <c r="Y28" t="s">
        <v>1121</v>
      </c>
      <c r="Z28" s="2" t="s">
        <v>1122</v>
      </c>
      <c r="AA28" t="s">
        <v>498</v>
      </c>
      <c r="AB28" t="s">
        <v>499</v>
      </c>
      <c r="AC28" t="s">
        <v>1123</v>
      </c>
      <c r="AD28" s="2" t="s">
        <v>1124</v>
      </c>
      <c r="AE28" t="s">
        <v>921</v>
      </c>
      <c r="AF28" t="s">
        <v>150</v>
      </c>
      <c r="AG28" s="2" t="s">
        <v>1125</v>
      </c>
      <c r="AH28" s="2" t="s">
        <v>1126</v>
      </c>
      <c r="AI28" s="2" t="s">
        <v>1127</v>
      </c>
      <c r="AJ28" s="2" t="s">
        <v>1128</v>
      </c>
      <c r="AK28" s="2" t="s">
        <v>1129</v>
      </c>
      <c r="AL28" s="2" t="s">
        <v>1130</v>
      </c>
      <c r="AM28" s="2" t="s">
        <v>1131</v>
      </c>
      <c r="AN28" s="2" t="s">
        <v>1132</v>
      </c>
      <c r="AO28" s="2" t="s">
        <v>1133</v>
      </c>
      <c r="AP28" t="s">
        <v>70</v>
      </c>
      <c r="AQ28" t="s">
        <v>1134</v>
      </c>
      <c r="AR28" t="s">
        <v>70</v>
      </c>
      <c r="AS28" t="s">
        <v>1135</v>
      </c>
      <c r="BD28" s="2" t="s">
        <v>328</v>
      </c>
      <c r="BE28" t="s">
        <v>1136</v>
      </c>
      <c r="BF28" t="s">
        <v>205</v>
      </c>
      <c r="BG28" s="2" t="s">
        <v>206</v>
      </c>
      <c r="BH28" t="s">
        <v>1137</v>
      </c>
      <c r="BI28" s="2" t="s">
        <v>1138</v>
      </c>
      <c r="BJ28" s="2" t="s">
        <v>1139</v>
      </c>
      <c r="BN28" s="8" t="s">
        <v>1550</v>
      </c>
      <c r="BO28" s="6">
        <v>200000</v>
      </c>
      <c r="BP28" s="8" t="s">
        <v>1535</v>
      </c>
      <c r="BR28" s="8" t="s">
        <v>1580</v>
      </c>
    </row>
    <row r="29" spans="1:70" ht="42.5" customHeight="1" x14ac:dyDescent="0.35">
      <c r="A29" t="s">
        <v>687</v>
      </c>
      <c r="B29" t="s">
        <v>688</v>
      </c>
      <c r="C29" t="s">
        <v>478</v>
      </c>
      <c r="D29" t="s">
        <v>479</v>
      </c>
      <c r="E29" t="s">
        <v>480</v>
      </c>
      <c r="F29" t="s">
        <v>62</v>
      </c>
      <c r="G29" t="s">
        <v>63</v>
      </c>
      <c r="H29" t="s">
        <v>64</v>
      </c>
      <c r="I29" t="s">
        <v>481</v>
      </c>
      <c r="J29" t="s">
        <v>482</v>
      </c>
      <c r="K29" t="s">
        <v>483</v>
      </c>
      <c r="L29" t="s">
        <v>484</v>
      </c>
      <c r="M29" t="s">
        <v>485</v>
      </c>
      <c r="N29" t="s">
        <v>486</v>
      </c>
      <c r="O29" t="s">
        <v>487</v>
      </c>
      <c r="P29" t="s">
        <v>488</v>
      </c>
      <c r="Q29" t="s">
        <v>345</v>
      </c>
      <c r="R29" t="s">
        <v>489</v>
      </c>
      <c r="S29" t="s">
        <v>490</v>
      </c>
      <c r="T29" t="s">
        <v>491</v>
      </c>
      <c r="U29" t="s">
        <v>492</v>
      </c>
      <c r="V29" t="s">
        <v>493</v>
      </c>
      <c r="W29" t="s">
        <v>494</v>
      </c>
      <c r="X29" t="s">
        <v>495</v>
      </c>
      <c r="Y29" t="s">
        <v>496</v>
      </c>
      <c r="Z29" t="s">
        <v>497</v>
      </c>
      <c r="AA29" t="s">
        <v>498</v>
      </c>
      <c r="AB29" t="s">
        <v>499</v>
      </c>
      <c r="AC29" t="s">
        <v>500</v>
      </c>
      <c r="AD29" s="2" t="s">
        <v>501</v>
      </c>
      <c r="AE29" t="s">
        <v>273</v>
      </c>
      <c r="AF29" t="s">
        <v>69</v>
      </c>
      <c r="AG29" s="2" t="s">
        <v>502</v>
      </c>
      <c r="AH29" s="2" t="s">
        <v>503</v>
      </c>
      <c r="AI29" s="2" t="s">
        <v>504</v>
      </c>
      <c r="AJ29" s="2" t="s">
        <v>505</v>
      </c>
      <c r="AK29" s="2" t="s">
        <v>506</v>
      </c>
      <c r="AL29" s="2" t="s">
        <v>507</v>
      </c>
      <c r="AM29" s="2" t="s">
        <v>507</v>
      </c>
      <c r="AN29" s="2" t="s">
        <v>508</v>
      </c>
      <c r="AO29" s="2" t="s">
        <v>509</v>
      </c>
      <c r="AP29" t="s">
        <v>70</v>
      </c>
      <c r="AQ29" t="s">
        <v>510</v>
      </c>
      <c r="AR29" t="s">
        <v>70</v>
      </c>
      <c r="AS29" t="s">
        <v>511</v>
      </c>
      <c r="AU29" t="s">
        <v>142</v>
      </c>
      <c r="AV29" t="s">
        <v>70</v>
      </c>
      <c r="AW29" t="s">
        <v>512</v>
      </c>
      <c r="AX29" t="s">
        <v>70</v>
      </c>
      <c r="AY29" t="s">
        <v>513</v>
      </c>
      <c r="BA29" t="s">
        <v>142</v>
      </c>
      <c r="BC29" t="s">
        <v>142</v>
      </c>
      <c r="BD29" s="2" t="s">
        <v>328</v>
      </c>
      <c r="BE29" t="s">
        <v>514</v>
      </c>
      <c r="BF29" t="s">
        <v>205</v>
      </c>
      <c r="BG29" s="2" t="s">
        <v>206</v>
      </c>
      <c r="BH29" t="s">
        <v>73</v>
      </c>
      <c r="BI29" s="2" t="s">
        <v>515</v>
      </c>
      <c r="BJ29" s="2" t="s">
        <v>516</v>
      </c>
      <c r="BK29" t="s">
        <v>517</v>
      </c>
      <c r="BM29" t="s">
        <v>518</v>
      </c>
      <c r="BN29" t="s">
        <v>1526</v>
      </c>
      <c r="BO29" s="6">
        <v>100000</v>
      </c>
      <c r="BP29" s="8" t="s">
        <v>1535</v>
      </c>
      <c r="BR29" s="8" t="s">
        <v>1582</v>
      </c>
    </row>
    <row r="30" spans="1:70" ht="42.5" customHeight="1" x14ac:dyDescent="0.35">
      <c r="A30" t="s">
        <v>687</v>
      </c>
      <c r="B30" t="s">
        <v>719</v>
      </c>
      <c r="C30" t="s">
        <v>1038</v>
      </c>
      <c r="D30" t="s">
        <v>1039</v>
      </c>
      <c r="E30" t="s">
        <v>1040</v>
      </c>
      <c r="F30" t="s">
        <v>1041</v>
      </c>
      <c r="G30" t="s">
        <v>63</v>
      </c>
      <c r="H30" t="s">
        <v>64</v>
      </c>
      <c r="I30" t="s">
        <v>1042</v>
      </c>
      <c r="J30" t="s">
        <v>1043</v>
      </c>
      <c r="K30" t="s">
        <v>1044</v>
      </c>
      <c r="L30" t="s">
        <v>1045</v>
      </c>
      <c r="M30" t="s">
        <v>1046</v>
      </c>
      <c r="N30" t="s">
        <v>1047</v>
      </c>
      <c r="O30" t="s">
        <v>1048</v>
      </c>
      <c r="P30" t="s">
        <v>1049</v>
      </c>
      <c r="Q30" t="s">
        <v>1050</v>
      </c>
      <c r="R30" t="s">
        <v>1051</v>
      </c>
      <c r="S30" t="s">
        <v>1037</v>
      </c>
      <c r="T30" t="s">
        <v>1048</v>
      </c>
      <c r="U30" t="s">
        <v>1052</v>
      </c>
      <c r="V30" t="s">
        <v>1053</v>
      </c>
      <c r="W30" t="s">
        <v>142</v>
      </c>
      <c r="X30" t="s">
        <v>455</v>
      </c>
      <c r="Y30" s="2" t="s">
        <v>1054</v>
      </c>
      <c r="Z30" s="2" t="s">
        <v>1055</v>
      </c>
      <c r="AA30" t="s">
        <v>146</v>
      </c>
      <c r="AB30" t="s">
        <v>314</v>
      </c>
      <c r="AC30" t="s">
        <v>1056</v>
      </c>
      <c r="AD30" s="2" t="s">
        <v>1057</v>
      </c>
      <c r="AE30" t="s">
        <v>1058</v>
      </c>
      <c r="AF30" t="s">
        <v>69</v>
      </c>
      <c r="AG30" s="2" t="s">
        <v>1059</v>
      </c>
      <c r="AH30" s="2" t="s">
        <v>1060</v>
      </c>
      <c r="AI30" t="s">
        <v>1061</v>
      </c>
      <c r="AJ30" s="2" t="s">
        <v>1062</v>
      </c>
      <c r="AK30" t="s">
        <v>1063</v>
      </c>
      <c r="AL30" s="2" t="s">
        <v>1064</v>
      </c>
      <c r="AM30" s="2" t="s">
        <v>1065</v>
      </c>
      <c r="AN30" s="2" t="s">
        <v>1066</v>
      </c>
      <c r="AO30" s="2" t="s">
        <v>1067</v>
      </c>
      <c r="BD30" s="2" t="s">
        <v>284</v>
      </c>
      <c r="BE30" t="s">
        <v>1068</v>
      </c>
      <c r="BF30" t="s">
        <v>286</v>
      </c>
      <c r="BG30" s="2" t="s">
        <v>206</v>
      </c>
      <c r="BH30" t="s">
        <v>1069</v>
      </c>
      <c r="BI30" s="2" t="s">
        <v>1070</v>
      </c>
      <c r="BJ30" s="2" t="s">
        <v>1071</v>
      </c>
      <c r="BN30" t="s">
        <v>1517</v>
      </c>
      <c r="BO30" s="6">
        <v>125000</v>
      </c>
      <c r="BP30" s="8" t="s">
        <v>1535</v>
      </c>
      <c r="BR30" s="8" t="s">
        <v>1580</v>
      </c>
    </row>
    <row r="31" spans="1:70" ht="42.5" customHeight="1" x14ac:dyDescent="0.35">
      <c r="A31" t="s">
        <v>754</v>
      </c>
      <c r="B31" t="s">
        <v>755</v>
      </c>
      <c r="C31" t="s">
        <v>936</v>
      </c>
      <c r="D31" t="s">
        <v>937</v>
      </c>
      <c r="E31" t="s">
        <v>938</v>
      </c>
      <c r="F31" t="s">
        <v>939</v>
      </c>
      <c r="G31" t="s">
        <v>63</v>
      </c>
      <c r="H31" t="s">
        <v>64</v>
      </c>
      <c r="I31" t="s">
        <v>940</v>
      </c>
      <c r="J31" t="s">
        <v>941</v>
      </c>
      <c r="K31" t="s">
        <v>942</v>
      </c>
      <c r="L31" t="s">
        <v>943</v>
      </c>
      <c r="M31" t="s">
        <v>842</v>
      </c>
      <c r="N31" t="s">
        <v>944</v>
      </c>
      <c r="O31" t="s">
        <v>945</v>
      </c>
      <c r="P31" t="s">
        <v>946</v>
      </c>
      <c r="Q31" t="s">
        <v>947</v>
      </c>
      <c r="R31" t="s">
        <v>948</v>
      </c>
      <c r="S31" t="s">
        <v>949</v>
      </c>
      <c r="T31" t="s">
        <v>945</v>
      </c>
      <c r="U31" t="s">
        <v>950</v>
      </c>
      <c r="V31" t="s">
        <v>309</v>
      </c>
      <c r="W31" t="s">
        <v>951</v>
      </c>
      <c r="X31" t="s">
        <v>952</v>
      </c>
      <c r="Y31" t="s">
        <v>953</v>
      </c>
      <c r="Z31" t="s">
        <v>954</v>
      </c>
      <c r="AA31" t="s">
        <v>146</v>
      </c>
      <c r="AB31" t="s">
        <v>314</v>
      </c>
      <c r="AC31" t="s">
        <v>955</v>
      </c>
      <c r="AD31" s="2" t="s">
        <v>956</v>
      </c>
      <c r="AE31" t="s">
        <v>149</v>
      </c>
      <c r="AF31" t="s">
        <v>352</v>
      </c>
      <c r="AG31" s="2" t="s">
        <v>957</v>
      </c>
      <c r="AH31" t="s">
        <v>958</v>
      </c>
      <c r="AI31" s="2" t="s">
        <v>959</v>
      </c>
      <c r="AJ31" s="2" t="s">
        <v>960</v>
      </c>
      <c r="AK31" s="2" t="s">
        <v>961</v>
      </c>
      <c r="AL31" s="2" t="s">
        <v>962</v>
      </c>
      <c r="AM31" s="2" t="s">
        <v>963</v>
      </c>
      <c r="AN31" s="2" t="s">
        <v>964</v>
      </c>
      <c r="AO31" s="2" t="s">
        <v>965</v>
      </c>
      <c r="AP31" t="s">
        <v>70</v>
      </c>
      <c r="BD31" s="2" t="s">
        <v>72</v>
      </c>
      <c r="BE31" t="s">
        <v>966</v>
      </c>
      <c r="BF31" s="2" t="s">
        <v>114</v>
      </c>
      <c r="BG31" s="2" t="s">
        <v>206</v>
      </c>
      <c r="BH31" t="s">
        <v>967</v>
      </c>
      <c r="BI31" s="2" t="s">
        <v>968</v>
      </c>
      <c r="BN31" t="s">
        <v>969</v>
      </c>
      <c r="BO31" s="14">
        <v>150000</v>
      </c>
      <c r="BP31" t="s">
        <v>1535</v>
      </c>
      <c r="BR31" s="8" t="s">
        <v>1580</v>
      </c>
    </row>
    <row r="32" spans="1:70" ht="42.5" customHeight="1" x14ac:dyDescent="0.35">
      <c r="A32" t="s">
        <v>789</v>
      </c>
      <c r="B32" t="s">
        <v>790</v>
      </c>
      <c r="C32" t="s">
        <v>1528</v>
      </c>
      <c r="AF32" t="s">
        <v>1529</v>
      </c>
      <c r="BN32" t="s">
        <v>1517</v>
      </c>
      <c r="BO32" s="6">
        <v>2100000</v>
      </c>
      <c r="BP32" t="s">
        <v>1530</v>
      </c>
      <c r="BR32" s="8" t="s">
        <v>1585</v>
      </c>
    </row>
    <row r="33" spans="1:70" ht="42.5" customHeight="1" x14ac:dyDescent="0.35">
      <c r="C33" s="8" t="s">
        <v>1559</v>
      </c>
      <c r="AD33" s="11" t="s">
        <v>1556</v>
      </c>
      <c r="AF33" s="8" t="s">
        <v>537</v>
      </c>
      <c r="BN33" s="12" t="s">
        <v>1517</v>
      </c>
      <c r="BO33" s="6">
        <v>150000</v>
      </c>
      <c r="BP33" s="8" t="s">
        <v>537</v>
      </c>
      <c r="BQ33" s="8" t="s">
        <v>1541</v>
      </c>
      <c r="BR33" s="8" t="s">
        <v>1582</v>
      </c>
    </row>
    <row r="34" spans="1:70" s="15" customFormat="1" ht="42.5" customHeight="1" x14ac:dyDescent="0.35">
      <c r="A34" t="s">
        <v>900</v>
      </c>
      <c r="B34" t="s">
        <v>901</v>
      </c>
      <c r="C34" s="15" t="s">
        <v>1424</v>
      </c>
      <c r="D34" t="s">
        <v>1425</v>
      </c>
      <c r="E34" t="s">
        <v>1426</v>
      </c>
      <c r="F34" t="s">
        <v>1427</v>
      </c>
      <c r="G34" t="s">
        <v>63</v>
      </c>
      <c r="H34" t="s">
        <v>64</v>
      </c>
      <c r="I34" t="s">
        <v>1009</v>
      </c>
      <c r="J34" t="s">
        <v>1428</v>
      </c>
      <c r="K34" t="s">
        <v>303</v>
      </c>
      <c r="L34" t="s">
        <v>1429</v>
      </c>
      <c r="M34" t="s">
        <v>412</v>
      </c>
      <c r="N34" t="s">
        <v>1423</v>
      </c>
      <c r="O34" t="s">
        <v>1430</v>
      </c>
      <c r="P34"/>
      <c r="Q34"/>
      <c r="R34"/>
      <c r="S34"/>
      <c r="T34"/>
      <c r="U34" t="s">
        <v>140</v>
      </c>
      <c r="V34" t="s">
        <v>883</v>
      </c>
      <c r="W34" t="s">
        <v>142</v>
      </c>
      <c r="X34" t="s">
        <v>587</v>
      </c>
      <c r="Y34" s="2" t="s">
        <v>1431</v>
      </c>
      <c r="Z34" t="s">
        <v>1432</v>
      </c>
      <c r="AA34" t="s">
        <v>498</v>
      </c>
      <c r="AB34" t="s">
        <v>499</v>
      </c>
      <c r="AC34" t="s">
        <v>1433</v>
      </c>
      <c r="AD34" s="16" t="s">
        <v>1434</v>
      </c>
      <c r="AE34" t="s">
        <v>149</v>
      </c>
      <c r="AF34" s="15" t="s">
        <v>102</v>
      </c>
      <c r="AG34" s="2" t="s">
        <v>1435</v>
      </c>
      <c r="AH34" s="2" t="s">
        <v>1436</v>
      </c>
      <c r="AI34" s="2" t="s">
        <v>1437</v>
      </c>
      <c r="AJ34" s="2" t="s">
        <v>1438</v>
      </c>
      <c r="AK34" t="s">
        <v>1439</v>
      </c>
      <c r="AL34" s="2" t="s">
        <v>1440</v>
      </c>
      <c r="AM34" t="s">
        <v>1441</v>
      </c>
      <c r="AN34" s="2" t="s">
        <v>1442</v>
      </c>
      <c r="AO34" s="2" t="s">
        <v>1442</v>
      </c>
      <c r="AP34"/>
      <c r="AQ34"/>
      <c r="AR34"/>
      <c r="AS34"/>
      <c r="AT34"/>
      <c r="AU34"/>
      <c r="AV34"/>
      <c r="AW34"/>
      <c r="AX34"/>
      <c r="AY34"/>
      <c r="AZ34"/>
      <c r="BA34"/>
      <c r="BB34"/>
      <c r="BC34"/>
      <c r="BD34" s="2" t="s">
        <v>328</v>
      </c>
      <c r="BE34" t="s">
        <v>863</v>
      </c>
      <c r="BF34" s="2" t="s">
        <v>114</v>
      </c>
      <c r="BG34" s="2" t="s">
        <v>682</v>
      </c>
      <c r="BH34" t="s">
        <v>1443</v>
      </c>
      <c r="BI34" s="2" t="s">
        <v>1444</v>
      </c>
      <c r="BJ34"/>
      <c r="BK34"/>
      <c r="BM34" t="s">
        <v>168</v>
      </c>
      <c r="BN34" s="15" t="s">
        <v>1517</v>
      </c>
      <c r="BO34" s="17">
        <v>150000</v>
      </c>
      <c r="BP34" s="18" t="s">
        <v>1535</v>
      </c>
      <c r="BR34" s="18" t="s">
        <v>1586</v>
      </c>
    </row>
    <row r="35" spans="1:70" ht="42.5" customHeight="1" x14ac:dyDescent="0.35">
      <c r="A35" t="s">
        <v>900</v>
      </c>
      <c r="B35" t="s">
        <v>901</v>
      </c>
      <c r="C35" s="15" t="s">
        <v>1424</v>
      </c>
      <c r="D35" t="s">
        <v>1425</v>
      </c>
      <c r="E35" t="s">
        <v>1426</v>
      </c>
      <c r="F35" t="s">
        <v>1427</v>
      </c>
      <c r="G35" t="s">
        <v>63</v>
      </c>
      <c r="H35" t="s">
        <v>64</v>
      </c>
      <c r="I35" t="s">
        <v>1009</v>
      </c>
      <c r="J35" t="s">
        <v>1428</v>
      </c>
      <c r="K35" t="s">
        <v>303</v>
      </c>
      <c r="L35" t="s">
        <v>1429</v>
      </c>
      <c r="M35" t="s">
        <v>412</v>
      </c>
      <c r="N35" t="s">
        <v>1423</v>
      </c>
      <c r="O35" t="s">
        <v>1430</v>
      </c>
      <c r="U35" t="s">
        <v>140</v>
      </c>
      <c r="V35" t="s">
        <v>883</v>
      </c>
      <c r="W35" t="s">
        <v>142</v>
      </c>
      <c r="X35" t="s">
        <v>587</v>
      </c>
      <c r="Y35" s="2" t="s">
        <v>1431</v>
      </c>
      <c r="Z35" t="s">
        <v>1432</v>
      </c>
      <c r="AA35" t="s">
        <v>498</v>
      </c>
      <c r="AB35" t="s">
        <v>499</v>
      </c>
      <c r="AC35" t="s">
        <v>1433</v>
      </c>
      <c r="AD35" s="16" t="s">
        <v>1434</v>
      </c>
      <c r="AE35" t="s">
        <v>149</v>
      </c>
      <c r="AF35" s="15" t="s">
        <v>102</v>
      </c>
      <c r="AG35" s="2" t="s">
        <v>1435</v>
      </c>
      <c r="AH35" s="2" t="s">
        <v>1436</v>
      </c>
      <c r="AI35" s="2" t="s">
        <v>1437</v>
      </c>
      <c r="AJ35" s="2" t="s">
        <v>1438</v>
      </c>
      <c r="AK35" t="s">
        <v>1439</v>
      </c>
      <c r="AL35" s="2" t="s">
        <v>1440</v>
      </c>
      <c r="AM35" t="s">
        <v>1441</v>
      </c>
      <c r="AN35" s="2" t="s">
        <v>1442</v>
      </c>
      <c r="AO35" s="2" t="s">
        <v>1442</v>
      </c>
      <c r="BD35" s="2" t="s">
        <v>328</v>
      </c>
      <c r="BE35" t="s">
        <v>863</v>
      </c>
      <c r="BF35" s="2" t="s">
        <v>114</v>
      </c>
      <c r="BG35" s="2" t="s">
        <v>682</v>
      </c>
      <c r="BH35" t="s">
        <v>1443</v>
      </c>
      <c r="BI35" s="2" t="s">
        <v>1444</v>
      </c>
      <c r="BL35" s="15"/>
      <c r="BM35" t="s">
        <v>168</v>
      </c>
      <c r="BN35" s="15" t="s">
        <v>1517</v>
      </c>
      <c r="BO35" s="17">
        <v>150000</v>
      </c>
      <c r="BP35" s="18" t="s">
        <v>1535</v>
      </c>
      <c r="BQ35" s="15"/>
      <c r="BR35" s="18" t="s">
        <v>1595</v>
      </c>
    </row>
    <row r="36" spans="1:70" ht="42.5" customHeight="1" x14ac:dyDescent="0.35">
      <c r="C36" s="8" t="s">
        <v>1548</v>
      </c>
      <c r="Y36" s="2"/>
      <c r="AD36" s="2" t="s">
        <v>1549</v>
      </c>
      <c r="AF36" s="8" t="s">
        <v>352</v>
      </c>
      <c r="AG36" s="2"/>
      <c r="AH36" s="2"/>
      <c r="AI36" s="2"/>
      <c r="AJ36" s="2"/>
      <c r="AL36" s="2"/>
      <c r="AN36" s="2"/>
      <c r="AO36" s="2"/>
      <c r="BD36" s="2"/>
      <c r="BF36" s="2"/>
      <c r="BG36" s="2"/>
      <c r="BI36" s="2"/>
      <c r="BN36" s="8" t="s">
        <v>620</v>
      </c>
      <c r="BO36" s="6">
        <v>100000</v>
      </c>
      <c r="BP36" s="8" t="s">
        <v>1535</v>
      </c>
      <c r="BR36" s="8" t="s">
        <v>1580</v>
      </c>
    </row>
    <row r="37" spans="1:70" ht="42.5" customHeight="1" x14ac:dyDescent="0.35">
      <c r="A37" t="s">
        <v>934</v>
      </c>
      <c r="B37" t="s">
        <v>935</v>
      </c>
      <c r="C37" t="s">
        <v>293</v>
      </c>
      <c r="D37" t="s">
        <v>294</v>
      </c>
      <c r="E37" t="s">
        <v>295</v>
      </c>
      <c r="F37" t="s">
        <v>296</v>
      </c>
      <c r="G37" t="s">
        <v>63</v>
      </c>
      <c r="H37" t="s">
        <v>64</v>
      </c>
      <c r="I37" t="s">
        <v>297</v>
      </c>
      <c r="J37" t="s">
        <v>298</v>
      </c>
      <c r="K37" t="s">
        <v>299</v>
      </c>
      <c r="L37" t="s">
        <v>300</v>
      </c>
      <c r="M37" t="s">
        <v>301</v>
      </c>
      <c r="N37" t="s">
        <v>292</v>
      </c>
      <c r="O37" t="s">
        <v>302</v>
      </c>
      <c r="P37" t="s">
        <v>303</v>
      </c>
      <c r="Q37" t="s">
        <v>304</v>
      </c>
      <c r="R37" t="s">
        <v>305</v>
      </c>
      <c r="S37" t="s">
        <v>306</v>
      </c>
      <c r="T37" t="s">
        <v>307</v>
      </c>
      <c r="U37" t="s">
        <v>308</v>
      </c>
      <c r="V37" t="s">
        <v>309</v>
      </c>
      <c r="W37" t="s">
        <v>310</v>
      </c>
      <c r="X37" t="s">
        <v>311</v>
      </c>
      <c r="Y37" s="2" t="s">
        <v>312</v>
      </c>
      <c r="Z37" t="s">
        <v>313</v>
      </c>
      <c r="AA37" t="s">
        <v>146</v>
      </c>
      <c r="AB37" t="s">
        <v>314</v>
      </c>
      <c r="AC37" t="s">
        <v>315</v>
      </c>
      <c r="AD37" s="2" t="s">
        <v>316</v>
      </c>
      <c r="AE37" t="s">
        <v>194</v>
      </c>
      <c r="AF37" t="s">
        <v>102</v>
      </c>
      <c r="AG37" s="2" t="s">
        <v>317</v>
      </c>
      <c r="AH37" s="2" t="s">
        <v>318</v>
      </c>
      <c r="AI37" s="2" t="s">
        <v>319</v>
      </c>
      <c r="AJ37" s="2" t="s">
        <v>320</v>
      </c>
      <c r="AK37" s="2" t="s">
        <v>321</v>
      </c>
      <c r="AL37" s="2" t="s">
        <v>322</v>
      </c>
      <c r="AM37" s="2" t="s">
        <v>323</v>
      </c>
      <c r="AN37" s="2" t="s">
        <v>324</v>
      </c>
      <c r="AO37" s="2" t="s">
        <v>325</v>
      </c>
      <c r="AP37" t="s">
        <v>70</v>
      </c>
      <c r="AQ37" t="s">
        <v>326</v>
      </c>
      <c r="AR37" t="s">
        <v>70</v>
      </c>
      <c r="AS37" t="s">
        <v>327</v>
      </c>
      <c r="BD37" s="2" t="s">
        <v>328</v>
      </c>
      <c r="BE37" t="s">
        <v>329</v>
      </c>
      <c r="BF37" t="s">
        <v>286</v>
      </c>
      <c r="BG37" s="2" t="s">
        <v>206</v>
      </c>
      <c r="BH37" t="s">
        <v>71</v>
      </c>
      <c r="BI37" s="2" t="s">
        <v>330</v>
      </c>
      <c r="BJ37" s="2" t="s">
        <v>331</v>
      </c>
      <c r="BK37" t="s">
        <v>332</v>
      </c>
      <c r="BL37" t="s">
        <v>333</v>
      </c>
      <c r="BM37" t="s">
        <v>168</v>
      </c>
      <c r="BN37" s="3" t="s">
        <v>1525</v>
      </c>
      <c r="BO37" s="6">
        <v>150000</v>
      </c>
      <c r="BP37" t="s">
        <v>102</v>
      </c>
      <c r="BR37" s="8" t="s">
        <v>1585</v>
      </c>
    </row>
    <row r="38" spans="1:70" ht="42.5" customHeight="1" x14ac:dyDescent="0.35">
      <c r="A38" t="s">
        <v>934</v>
      </c>
      <c r="B38" t="s">
        <v>970</v>
      </c>
      <c r="C38" s="15" t="s">
        <v>1317</v>
      </c>
      <c r="D38" t="s">
        <v>1318</v>
      </c>
      <c r="E38" t="s">
        <v>1319</v>
      </c>
      <c r="F38" t="s">
        <v>62</v>
      </c>
      <c r="G38" t="s">
        <v>63</v>
      </c>
      <c r="H38" t="s">
        <v>64</v>
      </c>
      <c r="I38" t="s">
        <v>1320</v>
      </c>
      <c r="J38" t="s">
        <v>1321</v>
      </c>
      <c r="K38" t="s">
        <v>1322</v>
      </c>
      <c r="L38" t="s">
        <v>1323</v>
      </c>
      <c r="M38" t="s">
        <v>1324</v>
      </c>
      <c r="N38" t="s">
        <v>1325</v>
      </c>
      <c r="O38" t="s">
        <v>1326</v>
      </c>
      <c r="P38" t="s">
        <v>1327</v>
      </c>
      <c r="Q38" t="s">
        <v>1328</v>
      </c>
      <c r="R38" t="s">
        <v>1329</v>
      </c>
      <c r="S38" t="s">
        <v>1316</v>
      </c>
      <c r="T38" t="s">
        <v>1326</v>
      </c>
      <c r="U38" t="s">
        <v>1330</v>
      </c>
      <c r="V38" t="s">
        <v>1331</v>
      </c>
      <c r="W38" t="s">
        <v>141</v>
      </c>
      <c r="X38" t="s">
        <v>734</v>
      </c>
      <c r="Y38" s="2" t="s">
        <v>1332</v>
      </c>
      <c r="Z38" t="s">
        <v>1333</v>
      </c>
      <c r="AA38" t="s">
        <v>146</v>
      </c>
      <c r="AB38" t="s">
        <v>314</v>
      </c>
      <c r="AC38" t="s">
        <v>1334</v>
      </c>
      <c r="AD38" s="16" t="s">
        <v>1335</v>
      </c>
      <c r="AE38" t="s">
        <v>1336</v>
      </c>
      <c r="AF38" s="18" t="s">
        <v>1547</v>
      </c>
      <c r="AG38" s="2" t="s">
        <v>1337</v>
      </c>
      <c r="AH38" s="2" t="s">
        <v>1338</v>
      </c>
      <c r="AI38" s="2" t="s">
        <v>1339</v>
      </c>
      <c r="AJ38" s="2" t="s">
        <v>1340</v>
      </c>
      <c r="AK38" t="s">
        <v>1341</v>
      </c>
      <c r="AL38" s="2" t="s">
        <v>1342</v>
      </c>
      <c r="AM38" s="2" t="s">
        <v>1343</v>
      </c>
      <c r="AN38" s="2" t="s">
        <v>1344</v>
      </c>
      <c r="AO38" s="2" t="s">
        <v>1345</v>
      </c>
      <c r="BD38" s="2" t="s">
        <v>284</v>
      </c>
      <c r="BE38" t="s">
        <v>1346</v>
      </c>
      <c r="BF38" s="2" t="s">
        <v>1347</v>
      </c>
      <c r="BG38" t="s">
        <v>115</v>
      </c>
      <c r="BH38" t="s">
        <v>1348</v>
      </c>
      <c r="BI38" s="2" t="s">
        <v>1349</v>
      </c>
      <c r="BJ38" t="s">
        <v>1350</v>
      </c>
      <c r="BL38" s="15"/>
      <c r="BM38" t="s">
        <v>1351</v>
      </c>
      <c r="BN38" s="15" t="s">
        <v>1352</v>
      </c>
      <c r="BO38" s="17">
        <v>1000000</v>
      </c>
      <c r="BP38" s="18" t="s">
        <v>1530</v>
      </c>
      <c r="BQ38" s="15"/>
      <c r="BR38" s="18" t="s">
        <v>1595</v>
      </c>
    </row>
    <row r="39" spans="1:70" s="15" customFormat="1" ht="42.5" customHeight="1" x14ac:dyDescent="0.35">
      <c r="A39" t="s">
        <v>934</v>
      </c>
      <c r="B39" t="s">
        <v>970</v>
      </c>
      <c r="C39" s="15" t="s">
        <v>1317</v>
      </c>
      <c r="D39" t="s">
        <v>1318</v>
      </c>
      <c r="E39" t="s">
        <v>1319</v>
      </c>
      <c r="F39" t="s">
        <v>62</v>
      </c>
      <c r="G39" t="s">
        <v>63</v>
      </c>
      <c r="H39" t="s">
        <v>64</v>
      </c>
      <c r="I39" t="s">
        <v>1320</v>
      </c>
      <c r="J39" t="s">
        <v>1321</v>
      </c>
      <c r="K39" t="s">
        <v>1322</v>
      </c>
      <c r="L39" t="s">
        <v>1323</v>
      </c>
      <c r="M39" t="s">
        <v>1324</v>
      </c>
      <c r="N39" t="s">
        <v>1325</v>
      </c>
      <c r="O39" t="s">
        <v>1326</v>
      </c>
      <c r="P39" t="s">
        <v>1327</v>
      </c>
      <c r="Q39" t="s">
        <v>1328</v>
      </c>
      <c r="R39" t="s">
        <v>1329</v>
      </c>
      <c r="S39" t="s">
        <v>1316</v>
      </c>
      <c r="T39" t="s">
        <v>1326</v>
      </c>
      <c r="U39" t="s">
        <v>1330</v>
      </c>
      <c r="V39" t="s">
        <v>1331</v>
      </c>
      <c r="W39" t="s">
        <v>141</v>
      </c>
      <c r="X39" t="s">
        <v>734</v>
      </c>
      <c r="Y39" s="2" t="s">
        <v>1332</v>
      </c>
      <c r="Z39" t="s">
        <v>1333</v>
      </c>
      <c r="AA39" t="s">
        <v>146</v>
      </c>
      <c r="AB39" t="s">
        <v>314</v>
      </c>
      <c r="AC39" t="s">
        <v>1334</v>
      </c>
      <c r="AD39" s="16" t="s">
        <v>1335</v>
      </c>
      <c r="AE39" t="s">
        <v>1336</v>
      </c>
      <c r="AF39" s="18" t="s">
        <v>1547</v>
      </c>
      <c r="AG39" s="2" t="s">
        <v>1337</v>
      </c>
      <c r="AH39" s="2" t="s">
        <v>1338</v>
      </c>
      <c r="AI39" s="2" t="s">
        <v>1339</v>
      </c>
      <c r="AJ39" s="2" t="s">
        <v>1340</v>
      </c>
      <c r="AK39" t="s">
        <v>1341</v>
      </c>
      <c r="AL39" s="2" t="s">
        <v>1342</v>
      </c>
      <c r="AM39" s="2" t="s">
        <v>1343</v>
      </c>
      <c r="AN39" s="2" t="s">
        <v>1344</v>
      </c>
      <c r="AO39" s="2" t="s">
        <v>1345</v>
      </c>
      <c r="AP39"/>
      <c r="AQ39"/>
      <c r="AR39"/>
      <c r="AS39"/>
      <c r="AT39"/>
      <c r="AU39"/>
      <c r="AV39"/>
      <c r="AW39"/>
      <c r="AX39"/>
      <c r="AY39"/>
      <c r="AZ39"/>
      <c r="BA39"/>
      <c r="BB39"/>
      <c r="BC39"/>
      <c r="BD39" s="2" t="s">
        <v>284</v>
      </c>
      <c r="BE39" t="s">
        <v>1346</v>
      </c>
      <c r="BF39" s="2" t="s">
        <v>1347</v>
      </c>
      <c r="BG39" t="s">
        <v>115</v>
      </c>
      <c r="BH39" t="s">
        <v>1348</v>
      </c>
      <c r="BI39" s="2" t="s">
        <v>1349</v>
      </c>
      <c r="BJ39" t="s">
        <v>1350</v>
      </c>
      <c r="BK39"/>
      <c r="BM39" t="s">
        <v>1351</v>
      </c>
      <c r="BN39" s="15" t="s">
        <v>1352</v>
      </c>
      <c r="BO39" s="17">
        <v>1500000</v>
      </c>
      <c r="BP39" s="18" t="s">
        <v>1530</v>
      </c>
      <c r="BR39" s="18" t="s">
        <v>1586</v>
      </c>
    </row>
    <row r="40" spans="1:70" ht="42.5" customHeight="1" x14ac:dyDescent="0.35">
      <c r="A40" t="s">
        <v>934</v>
      </c>
      <c r="B40" t="s">
        <v>1004</v>
      </c>
      <c r="C40" t="s">
        <v>369</v>
      </c>
      <c r="D40" t="s">
        <v>370</v>
      </c>
      <c r="E40" t="s">
        <v>371</v>
      </c>
      <c r="F40" t="s">
        <v>372</v>
      </c>
      <c r="G40" t="s">
        <v>63</v>
      </c>
      <c r="H40" t="s">
        <v>64</v>
      </c>
      <c r="I40" t="s">
        <v>65</v>
      </c>
      <c r="J40" t="s">
        <v>373</v>
      </c>
      <c r="K40" t="s">
        <v>374</v>
      </c>
      <c r="L40" t="s">
        <v>375</v>
      </c>
      <c r="M40" t="s">
        <v>66</v>
      </c>
      <c r="N40" t="s">
        <v>376</v>
      </c>
      <c r="O40" t="s">
        <v>377</v>
      </c>
      <c r="P40" t="s">
        <v>378</v>
      </c>
      <c r="Q40" t="s">
        <v>379</v>
      </c>
      <c r="R40" t="s">
        <v>380</v>
      </c>
      <c r="S40" t="s">
        <v>381</v>
      </c>
      <c r="T40" t="s">
        <v>382</v>
      </c>
      <c r="U40" t="s">
        <v>383</v>
      </c>
      <c r="V40" t="s">
        <v>141</v>
      </c>
      <c r="W40" t="s">
        <v>141</v>
      </c>
      <c r="X40" t="s">
        <v>384</v>
      </c>
      <c r="Y40" s="2" t="s">
        <v>385</v>
      </c>
      <c r="Z40" s="2" t="s">
        <v>386</v>
      </c>
      <c r="AA40" t="s">
        <v>146</v>
      </c>
      <c r="AB40" t="s">
        <v>314</v>
      </c>
      <c r="AC40" t="s">
        <v>231</v>
      </c>
      <c r="AD40" s="2" t="s">
        <v>387</v>
      </c>
      <c r="AE40" t="s">
        <v>388</v>
      </c>
      <c r="AF40" t="s">
        <v>69</v>
      </c>
      <c r="AG40" s="2" t="s">
        <v>389</v>
      </c>
      <c r="AH40" s="2" t="s">
        <v>390</v>
      </c>
      <c r="AI40" s="2" t="s">
        <v>391</v>
      </c>
      <c r="AJ40" s="2" t="s">
        <v>392</v>
      </c>
      <c r="AK40" s="2" t="s">
        <v>393</v>
      </c>
      <c r="AL40" s="2" t="s">
        <v>394</v>
      </c>
      <c r="AM40" s="2" t="s">
        <v>395</v>
      </c>
      <c r="AN40" s="2" t="s">
        <v>396</v>
      </c>
      <c r="AO40" s="2" t="s">
        <v>397</v>
      </c>
      <c r="AP40" t="s">
        <v>70</v>
      </c>
      <c r="AQ40" t="s">
        <v>327</v>
      </c>
      <c r="BD40" s="2" t="s">
        <v>112</v>
      </c>
      <c r="BE40" t="s">
        <v>398</v>
      </c>
      <c r="BF40" s="2" t="s">
        <v>114</v>
      </c>
      <c r="BG40" s="2" t="s">
        <v>206</v>
      </c>
      <c r="BH40" t="s">
        <v>399</v>
      </c>
      <c r="BI40" s="2" t="s">
        <v>400</v>
      </c>
      <c r="BK40" s="2" t="s">
        <v>401</v>
      </c>
      <c r="BM40" t="s">
        <v>402</v>
      </c>
      <c r="BN40" s="8" t="s">
        <v>1560</v>
      </c>
      <c r="BO40" s="6">
        <v>50000</v>
      </c>
      <c r="BP40" s="8" t="s">
        <v>1535</v>
      </c>
      <c r="BR40" s="8" t="s">
        <v>1582</v>
      </c>
    </row>
    <row r="41" spans="1:70" s="15" customFormat="1" ht="42.5" customHeight="1" x14ac:dyDescent="0.35">
      <c r="A41" t="s">
        <v>934</v>
      </c>
      <c r="B41" t="s">
        <v>1037</v>
      </c>
      <c r="C41" s="15" t="s">
        <v>830</v>
      </c>
      <c r="D41" t="s">
        <v>831</v>
      </c>
      <c r="E41" t="s">
        <v>832</v>
      </c>
      <c r="F41" t="s">
        <v>833</v>
      </c>
      <c r="G41" t="s">
        <v>63</v>
      </c>
      <c r="H41" t="s">
        <v>64</v>
      </c>
      <c r="I41" t="s">
        <v>834</v>
      </c>
      <c r="J41" t="s">
        <v>835</v>
      </c>
      <c r="K41" t="s">
        <v>836</v>
      </c>
      <c r="L41" t="s">
        <v>415</v>
      </c>
      <c r="M41" t="s">
        <v>837</v>
      </c>
      <c r="N41" t="s">
        <v>838</v>
      </c>
      <c r="O41" t="s">
        <v>839</v>
      </c>
      <c r="P41" t="s">
        <v>840</v>
      </c>
      <c r="Q41" t="s">
        <v>841</v>
      </c>
      <c r="R41" t="s">
        <v>842</v>
      </c>
      <c r="S41" t="s">
        <v>843</v>
      </c>
      <c r="T41" t="s">
        <v>844</v>
      </c>
      <c r="U41" t="s">
        <v>845</v>
      </c>
      <c r="V41" t="s">
        <v>846</v>
      </c>
      <c r="W41" t="s">
        <v>847</v>
      </c>
      <c r="X41" t="s">
        <v>848</v>
      </c>
      <c r="Y41" t="s">
        <v>849</v>
      </c>
      <c r="Z41" s="2" t="s">
        <v>850</v>
      </c>
      <c r="AA41" t="s">
        <v>146</v>
      </c>
      <c r="AB41" t="s">
        <v>314</v>
      </c>
      <c r="AC41" t="s">
        <v>851</v>
      </c>
      <c r="AD41" s="16" t="s">
        <v>852</v>
      </c>
      <c r="AE41" t="s">
        <v>853</v>
      </c>
      <c r="AF41" s="15" t="s">
        <v>69</v>
      </c>
      <c r="AG41" s="2" t="s">
        <v>854</v>
      </c>
      <c r="AH41" s="2" t="s">
        <v>855</v>
      </c>
      <c r="AI41" s="2" t="s">
        <v>856</v>
      </c>
      <c r="AJ41" s="2" t="s">
        <v>857</v>
      </c>
      <c r="AK41" s="2" t="s">
        <v>858</v>
      </c>
      <c r="AL41" s="2" t="s">
        <v>859</v>
      </c>
      <c r="AM41" s="2" t="s">
        <v>860</v>
      </c>
      <c r="AN41" s="2" t="s">
        <v>861</v>
      </c>
      <c r="AO41" s="2" t="s">
        <v>862</v>
      </c>
      <c r="AP41" t="s">
        <v>70</v>
      </c>
      <c r="AQ41" t="s">
        <v>71</v>
      </c>
      <c r="AR41"/>
      <c r="AS41"/>
      <c r="AT41"/>
      <c r="AU41"/>
      <c r="AV41"/>
      <c r="AW41"/>
      <c r="AX41"/>
      <c r="AY41"/>
      <c r="AZ41"/>
      <c r="BA41"/>
      <c r="BB41"/>
      <c r="BC41"/>
      <c r="BD41" s="2" t="s">
        <v>112</v>
      </c>
      <c r="BE41" t="s">
        <v>863</v>
      </c>
      <c r="BF41" s="2" t="s">
        <v>114</v>
      </c>
      <c r="BG41" s="2" t="s">
        <v>206</v>
      </c>
      <c r="BH41" t="s">
        <v>73</v>
      </c>
      <c r="BI41" s="2" t="s">
        <v>864</v>
      </c>
      <c r="BJ41"/>
      <c r="BK41"/>
      <c r="BM41"/>
      <c r="BN41" s="15" t="s">
        <v>865</v>
      </c>
      <c r="BO41" s="17">
        <v>175000</v>
      </c>
      <c r="BP41" s="18" t="s">
        <v>1535</v>
      </c>
      <c r="BR41" s="18" t="s">
        <v>1586</v>
      </c>
    </row>
    <row r="42" spans="1:70" ht="42.5" customHeight="1" x14ac:dyDescent="0.35">
      <c r="A42" t="s">
        <v>934</v>
      </c>
      <c r="B42" t="s">
        <v>1037</v>
      </c>
      <c r="C42" s="15" t="s">
        <v>830</v>
      </c>
      <c r="D42" t="s">
        <v>831</v>
      </c>
      <c r="E42" t="s">
        <v>832</v>
      </c>
      <c r="F42" t="s">
        <v>833</v>
      </c>
      <c r="G42" t="s">
        <v>63</v>
      </c>
      <c r="H42" t="s">
        <v>64</v>
      </c>
      <c r="I42" t="s">
        <v>834</v>
      </c>
      <c r="J42" t="s">
        <v>835</v>
      </c>
      <c r="K42" t="s">
        <v>836</v>
      </c>
      <c r="L42" t="s">
        <v>415</v>
      </c>
      <c r="M42" t="s">
        <v>837</v>
      </c>
      <c r="N42" t="s">
        <v>838</v>
      </c>
      <c r="O42" t="s">
        <v>839</v>
      </c>
      <c r="P42" t="s">
        <v>840</v>
      </c>
      <c r="Q42" t="s">
        <v>841</v>
      </c>
      <c r="R42" t="s">
        <v>842</v>
      </c>
      <c r="S42" t="s">
        <v>843</v>
      </c>
      <c r="T42" t="s">
        <v>844</v>
      </c>
      <c r="U42" t="s">
        <v>845</v>
      </c>
      <c r="V42" t="s">
        <v>846</v>
      </c>
      <c r="W42" t="s">
        <v>847</v>
      </c>
      <c r="X42" t="s">
        <v>848</v>
      </c>
      <c r="Y42" t="s">
        <v>849</v>
      </c>
      <c r="Z42" s="2" t="s">
        <v>850</v>
      </c>
      <c r="AA42" t="s">
        <v>146</v>
      </c>
      <c r="AB42" t="s">
        <v>314</v>
      </c>
      <c r="AC42" t="s">
        <v>851</v>
      </c>
      <c r="AD42" s="16" t="s">
        <v>852</v>
      </c>
      <c r="AE42" t="s">
        <v>853</v>
      </c>
      <c r="AF42" s="15" t="s">
        <v>69</v>
      </c>
      <c r="AG42" s="2" t="s">
        <v>854</v>
      </c>
      <c r="AH42" s="2" t="s">
        <v>855</v>
      </c>
      <c r="AI42" s="2" t="s">
        <v>856</v>
      </c>
      <c r="AJ42" s="2" t="s">
        <v>857</v>
      </c>
      <c r="AK42" s="2" t="s">
        <v>858</v>
      </c>
      <c r="AL42" s="2" t="s">
        <v>859</v>
      </c>
      <c r="AM42" s="2" t="s">
        <v>860</v>
      </c>
      <c r="AN42" s="2" t="s">
        <v>861</v>
      </c>
      <c r="AO42" s="2" t="s">
        <v>862</v>
      </c>
      <c r="AP42" t="s">
        <v>70</v>
      </c>
      <c r="AQ42" t="s">
        <v>71</v>
      </c>
      <c r="BD42" s="2" t="s">
        <v>112</v>
      </c>
      <c r="BE42" t="s">
        <v>863</v>
      </c>
      <c r="BF42" s="2" t="s">
        <v>114</v>
      </c>
      <c r="BG42" s="2" t="s">
        <v>206</v>
      </c>
      <c r="BH42" t="s">
        <v>73</v>
      </c>
      <c r="BI42" s="2" t="s">
        <v>864</v>
      </c>
      <c r="BL42" s="15"/>
      <c r="BN42" s="15" t="s">
        <v>865</v>
      </c>
      <c r="BO42" s="17">
        <v>300000</v>
      </c>
      <c r="BP42" s="18" t="s">
        <v>1571</v>
      </c>
      <c r="BQ42" s="15"/>
      <c r="BR42" s="18" t="s">
        <v>1595</v>
      </c>
    </row>
    <row r="43" spans="1:70" ht="42.5" customHeight="1" x14ac:dyDescent="0.35">
      <c r="A43" t="s">
        <v>934</v>
      </c>
      <c r="B43" t="s">
        <v>1037</v>
      </c>
      <c r="C43" t="s">
        <v>830</v>
      </c>
      <c r="D43" t="s">
        <v>831</v>
      </c>
      <c r="E43" t="s">
        <v>832</v>
      </c>
      <c r="F43" t="s">
        <v>833</v>
      </c>
      <c r="G43" t="s">
        <v>63</v>
      </c>
      <c r="H43" t="s">
        <v>64</v>
      </c>
      <c r="I43" t="s">
        <v>834</v>
      </c>
      <c r="J43" t="s">
        <v>835</v>
      </c>
      <c r="K43" t="s">
        <v>836</v>
      </c>
      <c r="L43" t="s">
        <v>415</v>
      </c>
      <c r="M43" t="s">
        <v>837</v>
      </c>
      <c r="N43" t="s">
        <v>838</v>
      </c>
      <c r="O43" t="s">
        <v>839</v>
      </c>
      <c r="P43" t="s">
        <v>840</v>
      </c>
      <c r="Q43" t="s">
        <v>841</v>
      </c>
      <c r="R43" t="s">
        <v>842</v>
      </c>
      <c r="S43" t="s">
        <v>843</v>
      </c>
      <c r="T43" t="s">
        <v>844</v>
      </c>
      <c r="U43" t="s">
        <v>845</v>
      </c>
      <c r="V43" t="s">
        <v>846</v>
      </c>
      <c r="W43" t="s">
        <v>847</v>
      </c>
      <c r="X43" t="s">
        <v>848</v>
      </c>
      <c r="Y43" t="s">
        <v>849</v>
      </c>
      <c r="Z43" s="2" t="s">
        <v>850</v>
      </c>
      <c r="AA43" t="s">
        <v>146</v>
      </c>
      <c r="AB43" t="s">
        <v>314</v>
      </c>
      <c r="AC43" t="s">
        <v>851</v>
      </c>
      <c r="AD43" s="2" t="s">
        <v>852</v>
      </c>
      <c r="AE43" t="s">
        <v>853</v>
      </c>
      <c r="AF43" t="s">
        <v>69</v>
      </c>
      <c r="AG43" s="2" t="s">
        <v>854</v>
      </c>
      <c r="AH43" s="2" t="s">
        <v>855</v>
      </c>
      <c r="AI43" s="2" t="s">
        <v>856</v>
      </c>
      <c r="AJ43" s="2" t="s">
        <v>857</v>
      </c>
      <c r="AK43" s="2" t="s">
        <v>858</v>
      </c>
      <c r="AL43" s="2" t="s">
        <v>859</v>
      </c>
      <c r="AM43" s="2" t="s">
        <v>860</v>
      </c>
      <c r="AN43" s="2" t="s">
        <v>861</v>
      </c>
      <c r="AO43" s="2" t="s">
        <v>862</v>
      </c>
      <c r="AP43" t="s">
        <v>70</v>
      </c>
      <c r="AQ43" t="s">
        <v>71</v>
      </c>
      <c r="BD43" s="2" t="s">
        <v>112</v>
      </c>
      <c r="BE43" t="s">
        <v>863</v>
      </c>
      <c r="BF43" s="2" t="s">
        <v>114</v>
      </c>
      <c r="BG43" s="2" t="s">
        <v>206</v>
      </c>
      <c r="BH43" t="s">
        <v>73</v>
      </c>
      <c r="BI43" s="2" t="s">
        <v>864</v>
      </c>
      <c r="BN43" t="s">
        <v>865</v>
      </c>
      <c r="BO43" s="6">
        <v>25000</v>
      </c>
      <c r="BP43" s="8" t="s">
        <v>1535</v>
      </c>
      <c r="BQ43" s="8" t="s">
        <v>1573</v>
      </c>
      <c r="BR43" s="8" t="s">
        <v>1595</v>
      </c>
    </row>
    <row r="44" spans="1:70" ht="42.5" customHeight="1" x14ac:dyDescent="0.35">
      <c r="A44" t="s">
        <v>934</v>
      </c>
      <c r="B44" t="s">
        <v>1037</v>
      </c>
      <c r="C44" t="s">
        <v>830</v>
      </c>
      <c r="D44" t="s">
        <v>831</v>
      </c>
      <c r="E44" t="s">
        <v>832</v>
      </c>
      <c r="F44" t="s">
        <v>833</v>
      </c>
      <c r="G44" t="s">
        <v>63</v>
      </c>
      <c r="H44" t="s">
        <v>64</v>
      </c>
      <c r="I44" t="s">
        <v>834</v>
      </c>
      <c r="J44" t="s">
        <v>835</v>
      </c>
      <c r="K44" t="s">
        <v>836</v>
      </c>
      <c r="L44" t="s">
        <v>415</v>
      </c>
      <c r="M44" t="s">
        <v>837</v>
      </c>
      <c r="N44" t="s">
        <v>838</v>
      </c>
      <c r="O44" t="s">
        <v>839</v>
      </c>
      <c r="P44" t="s">
        <v>840</v>
      </c>
      <c r="Q44" t="s">
        <v>841</v>
      </c>
      <c r="R44" t="s">
        <v>842</v>
      </c>
      <c r="S44" t="s">
        <v>843</v>
      </c>
      <c r="T44" t="s">
        <v>844</v>
      </c>
      <c r="U44" t="s">
        <v>845</v>
      </c>
      <c r="V44" t="s">
        <v>846</v>
      </c>
      <c r="W44" t="s">
        <v>847</v>
      </c>
      <c r="X44" t="s">
        <v>848</v>
      </c>
      <c r="Y44" t="s">
        <v>849</v>
      </c>
      <c r="Z44" s="2" t="s">
        <v>850</v>
      </c>
      <c r="AA44" t="s">
        <v>146</v>
      </c>
      <c r="AB44" t="s">
        <v>314</v>
      </c>
      <c r="AC44" t="s">
        <v>851</v>
      </c>
      <c r="AD44" s="2" t="s">
        <v>852</v>
      </c>
      <c r="AE44" t="s">
        <v>853</v>
      </c>
      <c r="AF44" t="s">
        <v>69</v>
      </c>
      <c r="AG44" s="2" t="s">
        <v>854</v>
      </c>
      <c r="AH44" s="2" t="s">
        <v>855</v>
      </c>
      <c r="AI44" s="2" t="s">
        <v>856</v>
      </c>
      <c r="AJ44" s="2" t="s">
        <v>857</v>
      </c>
      <c r="AK44" s="2" t="s">
        <v>858</v>
      </c>
      <c r="AL44" s="2" t="s">
        <v>859</v>
      </c>
      <c r="AM44" s="2" t="s">
        <v>860</v>
      </c>
      <c r="AN44" s="2" t="s">
        <v>861</v>
      </c>
      <c r="AO44" s="2" t="s">
        <v>862</v>
      </c>
      <c r="AP44" t="s">
        <v>70</v>
      </c>
      <c r="AQ44" t="s">
        <v>71</v>
      </c>
      <c r="BD44" s="2" t="s">
        <v>112</v>
      </c>
      <c r="BE44" t="s">
        <v>863</v>
      </c>
      <c r="BF44" s="2" t="s">
        <v>114</v>
      </c>
      <c r="BG44" s="2" t="s">
        <v>206</v>
      </c>
      <c r="BH44" t="s">
        <v>73</v>
      </c>
      <c r="BI44" s="2" t="s">
        <v>864</v>
      </c>
      <c r="BN44" t="s">
        <v>865</v>
      </c>
      <c r="BO44" s="6">
        <v>25000</v>
      </c>
      <c r="BP44" s="8" t="s">
        <v>1535</v>
      </c>
      <c r="BQ44" s="8" t="s">
        <v>1573</v>
      </c>
      <c r="BR44" s="8" t="s">
        <v>1580</v>
      </c>
    </row>
    <row r="45" spans="1:70" ht="42.5" customHeight="1" x14ac:dyDescent="0.35">
      <c r="A45" t="s">
        <v>1072</v>
      </c>
      <c r="B45" t="s">
        <v>1104</v>
      </c>
      <c r="C45" t="s">
        <v>442</v>
      </c>
      <c r="D45" t="s">
        <v>443</v>
      </c>
      <c r="E45" t="s">
        <v>444</v>
      </c>
      <c r="F45" t="s">
        <v>445</v>
      </c>
      <c r="G45" t="s">
        <v>63</v>
      </c>
      <c r="H45" t="s">
        <v>64</v>
      </c>
      <c r="I45" t="s">
        <v>408</v>
      </c>
      <c r="J45" t="s">
        <v>446</v>
      </c>
      <c r="K45" t="s">
        <v>447</v>
      </c>
      <c r="L45" t="s">
        <v>448</v>
      </c>
      <c r="M45" t="s">
        <v>301</v>
      </c>
      <c r="N45" t="s">
        <v>441</v>
      </c>
      <c r="O45" t="s">
        <v>449</v>
      </c>
      <c r="P45" t="s">
        <v>450</v>
      </c>
      <c r="Q45" t="s">
        <v>451</v>
      </c>
      <c r="R45" t="s">
        <v>452</v>
      </c>
      <c r="S45" t="s">
        <v>453</v>
      </c>
      <c r="T45" t="s">
        <v>454</v>
      </c>
      <c r="U45" t="s">
        <v>308</v>
      </c>
      <c r="V45" t="s">
        <v>455</v>
      </c>
      <c r="W45" t="s">
        <v>142</v>
      </c>
      <c r="X45" t="s">
        <v>456</v>
      </c>
      <c r="Y45" s="2" t="s">
        <v>457</v>
      </c>
      <c r="Z45" s="2" t="s">
        <v>458</v>
      </c>
      <c r="AA45" t="s">
        <v>190</v>
      </c>
      <c r="AB45" t="s">
        <v>191</v>
      </c>
      <c r="AC45" t="s">
        <v>459</v>
      </c>
      <c r="AD45" s="2" t="s">
        <v>460</v>
      </c>
      <c r="AE45" t="s">
        <v>461</v>
      </c>
      <c r="AF45" t="s">
        <v>352</v>
      </c>
      <c r="AG45" s="2" t="s">
        <v>462</v>
      </c>
      <c r="AH45" s="2" t="s">
        <v>463</v>
      </c>
      <c r="AI45" s="2" t="s">
        <v>464</v>
      </c>
      <c r="AJ45" s="2" t="s">
        <v>465</v>
      </c>
      <c r="AK45" s="2" t="s">
        <v>466</v>
      </c>
      <c r="AL45" s="2" t="s">
        <v>1516</v>
      </c>
      <c r="AM45" s="2" t="s">
        <v>467</v>
      </c>
      <c r="AN45" s="2" t="s">
        <v>468</v>
      </c>
      <c r="AO45" t="s">
        <v>469</v>
      </c>
      <c r="AP45" t="s">
        <v>70</v>
      </c>
      <c r="AQ45" t="s">
        <v>203</v>
      </c>
      <c r="AR45" t="s">
        <v>70</v>
      </c>
      <c r="AS45" t="s">
        <v>470</v>
      </c>
      <c r="AT45" t="s">
        <v>70</v>
      </c>
      <c r="AU45" t="s">
        <v>470</v>
      </c>
      <c r="AV45" t="s">
        <v>70</v>
      </c>
      <c r="AW45" t="s">
        <v>470</v>
      </c>
      <c r="AX45" t="s">
        <v>70</v>
      </c>
      <c r="AY45" t="s">
        <v>470</v>
      </c>
      <c r="AZ45" t="s">
        <v>70</v>
      </c>
      <c r="BA45" t="s">
        <v>470</v>
      </c>
      <c r="BB45" t="s">
        <v>70</v>
      </c>
      <c r="BC45" t="s">
        <v>470</v>
      </c>
      <c r="BD45" s="2" t="s">
        <v>72</v>
      </c>
      <c r="BE45" t="s">
        <v>471</v>
      </c>
      <c r="BF45" t="s">
        <v>205</v>
      </c>
      <c r="BG45" s="2" t="s">
        <v>206</v>
      </c>
      <c r="BH45" t="s">
        <v>472</v>
      </c>
      <c r="BI45" s="2" t="s">
        <v>473</v>
      </c>
      <c r="BJ45" s="2" t="s">
        <v>474</v>
      </c>
      <c r="BK45" t="s">
        <v>475</v>
      </c>
      <c r="BM45" t="s">
        <v>476</v>
      </c>
      <c r="BN45" t="s">
        <v>1513</v>
      </c>
      <c r="BO45" s="6">
        <v>150000</v>
      </c>
      <c r="BP45" s="8" t="s">
        <v>1535</v>
      </c>
      <c r="BR45" s="8" t="s">
        <v>1582</v>
      </c>
    </row>
    <row r="46" spans="1:70" s="15" customFormat="1" ht="42.5" customHeight="1" x14ac:dyDescent="0.35">
      <c r="A46"/>
      <c r="B46"/>
      <c r="C46" s="18" t="s">
        <v>1565</v>
      </c>
      <c r="D46"/>
      <c r="E46"/>
      <c r="F46"/>
      <c r="G46"/>
      <c r="H46"/>
      <c r="I46"/>
      <c r="J46"/>
      <c r="K46"/>
      <c r="L46"/>
      <c r="M46"/>
      <c r="N46"/>
      <c r="O46"/>
      <c r="P46"/>
      <c r="Q46"/>
      <c r="R46"/>
      <c r="S46"/>
      <c r="T46"/>
      <c r="U46"/>
      <c r="V46"/>
      <c r="W46"/>
      <c r="X46"/>
      <c r="Y46" s="2"/>
      <c r="Z46" s="2"/>
      <c r="AA46"/>
      <c r="AB46"/>
      <c r="AC46"/>
      <c r="AD46" s="30" t="s">
        <v>1540</v>
      </c>
      <c r="AE46"/>
      <c r="AG46" s="2"/>
      <c r="AH46" s="2"/>
      <c r="AI46" s="2"/>
      <c r="AJ46" s="2"/>
      <c r="AK46" s="2"/>
      <c r="AL46" s="2"/>
      <c r="AM46" s="2"/>
      <c r="AN46" s="2"/>
      <c r="AO46"/>
      <c r="AP46"/>
      <c r="AQ46"/>
      <c r="AR46"/>
      <c r="AS46"/>
      <c r="AT46"/>
      <c r="AU46"/>
      <c r="AV46"/>
      <c r="AW46"/>
      <c r="AX46"/>
      <c r="AY46"/>
      <c r="AZ46"/>
      <c r="BA46"/>
      <c r="BB46"/>
      <c r="BC46"/>
      <c r="BD46" s="2"/>
      <c r="BE46"/>
      <c r="BF46"/>
      <c r="BG46" s="2"/>
      <c r="BH46"/>
      <c r="BI46" s="2"/>
      <c r="BJ46" s="2"/>
      <c r="BK46"/>
      <c r="BM46"/>
      <c r="BN46" s="18" t="s">
        <v>1003</v>
      </c>
      <c r="BO46" s="17">
        <v>50000</v>
      </c>
      <c r="BP46" s="18" t="s">
        <v>1535</v>
      </c>
      <c r="BR46" s="18" t="s">
        <v>1586</v>
      </c>
    </row>
    <row r="47" spans="1:70" ht="42.5" customHeight="1" x14ac:dyDescent="0.35">
      <c r="C47" s="8" t="s">
        <v>1565</v>
      </c>
      <c r="Y47" s="2"/>
      <c r="Z47" s="2"/>
      <c r="AD47" s="3" t="s">
        <v>1540</v>
      </c>
      <c r="AG47" s="2"/>
      <c r="AH47" s="2"/>
      <c r="AI47" s="2"/>
      <c r="AJ47" s="2"/>
      <c r="AK47" s="2"/>
      <c r="AL47" s="2"/>
      <c r="AM47" s="2"/>
      <c r="AN47" s="2"/>
      <c r="BD47" s="2"/>
      <c r="BG47" s="2"/>
      <c r="BI47" s="2"/>
      <c r="BJ47" s="2"/>
      <c r="BN47" s="8" t="s">
        <v>1003</v>
      </c>
      <c r="BO47" s="6">
        <v>50000</v>
      </c>
      <c r="BP47" s="8" t="s">
        <v>1535</v>
      </c>
      <c r="BR47" s="8" t="s">
        <v>1595</v>
      </c>
    </row>
    <row r="48" spans="1:70" s="15" customFormat="1" ht="42.5" customHeight="1" x14ac:dyDescent="0.35">
      <c r="A48" t="s">
        <v>1140</v>
      </c>
      <c r="B48" t="s">
        <v>1141</v>
      </c>
      <c r="C48" s="15" t="s">
        <v>1355</v>
      </c>
      <c r="D48" t="s">
        <v>1356</v>
      </c>
      <c r="E48" t="s">
        <v>1357</v>
      </c>
      <c r="F48" t="s">
        <v>1358</v>
      </c>
      <c r="G48" t="s">
        <v>63</v>
      </c>
      <c r="H48" t="s">
        <v>127</v>
      </c>
      <c r="I48" t="s">
        <v>65</v>
      </c>
      <c r="J48" t="s">
        <v>1359</v>
      </c>
      <c r="K48" t="s">
        <v>1360</v>
      </c>
      <c r="L48" t="s">
        <v>1361</v>
      </c>
      <c r="M48" t="s">
        <v>66</v>
      </c>
      <c r="N48" t="s">
        <v>1354</v>
      </c>
      <c r="O48" t="s">
        <v>1362</v>
      </c>
      <c r="P48" t="s">
        <v>1363</v>
      </c>
      <c r="Q48" t="s">
        <v>1364</v>
      </c>
      <c r="R48" t="s">
        <v>1365</v>
      </c>
      <c r="S48" t="s">
        <v>1366</v>
      </c>
      <c r="T48" t="s">
        <v>1367</v>
      </c>
      <c r="U48" t="s">
        <v>348</v>
      </c>
      <c r="V48" t="s">
        <v>735</v>
      </c>
      <c r="W48" t="s">
        <v>141</v>
      </c>
      <c r="X48" t="s">
        <v>602</v>
      </c>
      <c r="Y48" t="s">
        <v>1368</v>
      </c>
      <c r="Z48" s="2" t="s">
        <v>1369</v>
      </c>
      <c r="AA48" t="s">
        <v>1370</v>
      </c>
      <c r="AB48" t="s">
        <v>1371</v>
      </c>
      <c r="AC48" t="s">
        <v>1372</v>
      </c>
      <c r="AD48" s="15" t="s">
        <v>1373</v>
      </c>
      <c r="AE48" t="s">
        <v>1374</v>
      </c>
      <c r="AF48" s="15" t="s">
        <v>352</v>
      </c>
      <c r="AG48" s="2" t="s">
        <v>1375</v>
      </c>
      <c r="AH48" s="2" t="s">
        <v>1376</v>
      </c>
      <c r="AI48" t="s">
        <v>1377</v>
      </c>
      <c r="AJ48" s="2" t="s">
        <v>1378</v>
      </c>
      <c r="AK48" s="2" t="s">
        <v>1379</v>
      </c>
      <c r="AL48" s="2" t="s">
        <v>1380</v>
      </c>
      <c r="AM48" s="2" t="s">
        <v>1381</v>
      </c>
      <c r="AN48" s="2" t="s">
        <v>1382</v>
      </c>
      <c r="AO48" s="2" t="s">
        <v>1383</v>
      </c>
      <c r="AP48"/>
      <c r="AQ48"/>
      <c r="AR48"/>
      <c r="AS48"/>
      <c r="AT48"/>
      <c r="AU48"/>
      <c r="AV48"/>
      <c r="AW48"/>
      <c r="AX48"/>
      <c r="AY48"/>
      <c r="AZ48"/>
      <c r="BA48"/>
      <c r="BB48"/>
      <c r="BC48"/>
      <c r="BD48" s="2" t="s">
        <v>112</v>
      </c>
      <c r="BE48" t="s">
        <v>1384</v>
      </c>
      <c r="BF48" s="2" t="s">
        <v>1033</v>
      </c>
      <c r="BG48" s="2" t="s">
        <v>206</v>
      </c>
      <c r="BH48" t="s">
        <v>73</v>
      </c>
      <c r="BI48" s="2" t="s">
        <v>1385</v>
      </c>
      <c r="BJ48" t="s">
        <v>1386</v>
      </c>
      <c r="BK48"/>
      <c r="BM48" t="s">
        <v>1387</v>
      </c>
      <c r="BN48" s="15" t="s">
        <v>1387</v>
      </c>
      <c r="BO48" s="17">
        <v>75000</v>
      </c>
      <c r="BP48" s="18" t="s">
        <v>1535</v>
      </c>
      <c r="BR48" s="18" t="s">
        <v>1586</v>
      </c>
    </row>
    <row r="49" spans="1:70" ht="42.5" customHeight="1" x14ac:dyDescent="0.35">
      <c r="A49" t="s">
        <v>1140</v>
      </c>
      <c r="B49" t="s">
        <v>1141</v>
      </c>
      <c r="C49" t="s">
        <v>1355</v>
      </c>
      <c r="D49" t="s">
        <v>1356</v>
      </c>
      <c r="E49" t="s">
        <v>1357</v>
      </c>
      <c r="F49" t="s">
        <v>1358</v>
      </c>
      <c r="G49" t="s">
        <v>63</v>
      </c>
      <c r="H49" t="s">
        <v>127</v>
      </c>
      <c r="I49" t="s">
        <v>65</v>
      </c>
      <c r="J49" t="s">
        <v>1359</v>
      </c>
      <c r="K49" t="s">
        <v>1360</v>
      </c>
      <c r="L49" t="s">
        <v>1361</v>
      </c>
      <c r="M49" t="s">
        <v>66</v>
      </c>
      <c r="N49" t="s">
        <v>1354</v>
      </c>
      <c r="O49" t="s">
        <v>1362</v>
      </c>
      <c r="P49" t="s">
        <v>1363</v>
      </c>
      <c r="Q49" t="s">
        <v>1364</v>
      </c>
      <c r="R49" t="s">
        <v>1365</v>
      </c>
      <c r="S49" t="s">
        <v>1366</v>
      </c>
      <c r="T49" t="s">
        <v>1367</v>
      </c>
      <c r="U49" t="s">
        <v>348</v>
      </c>
      <c r="V49" t="s">
        <v>735</v>
      </c>
      <c r="W49" t="s">
        <v>141</v>
      </c>
      <c r="X49" t="s">
        <v>602</v>
      </c>
      <c r="Y49" t="s">
        <v>1368</v>
      </c>
      <c r="Z49" s="2" t="s">
        <v>1369</v>
      </c>
      <c r="AA49" t="s">
        <v>1370</v>
      </c>
      <c r="AB49" t="s">
        <v>1371</v>
      </c>
      <c r="AC49" t="s">
        <v>1372</v>
      </c>
      <c r="AD49" t="s">
        <v>1373</v>
      </c>
      <c r="AE49" t="s">
        <v>1374</v>
      </c>
      <c r="AF49" t="s">
        <v>352</v>
      </c>
      <c r="AG49" s="2" t="s">
        <v>1375</v>
      </c>
      <c r="AH49" s="2" t="s">
        <v>1376</v>
      </c>
      <c r="AI49" t="s">
        <v>1377</v>
      </c>
      <c r="AJ49" s="2" t="s">
        <v>1378</v>
      </c>
      <c r="AK49" s="2" t="s">
        <v>1379</v>
      </c>
      <c r="AL49" s="2" t="s">
        <v>1380</v>
      </c>
      <c r="AM49" s="2" t="s">
        <v>1381</v>
      </c>
      <c r="AN49" s="2" t="s">
        <v>1382</v>
      </c>
      <c r="AO49" s="2" t="s">
        <v>1383</v>
      </c>
      <c r="BD49" s="2" t="s">
        <v>112</v>
      </c>
      <c r="BE49" t="s">
        <v>1384</v>
      </c>
      <c r="BF49" s="2" t="s">
        <v>1033</v>
      </c>
      <c r="BG49" s="2" t="s">
        <v>206</v>
      </c>
      <c r="BH49" t="s">
        <v>73</v>
      </c>
      <c r="BI49" s="2" t="s">
        <v>1385</v>
      </c>
      <c r="BJ49" t="s">
        <v>1386</v>
      </c>
      <c r="BM49" t="s">
        <v>1387</v>
      </c>
      <c r="BN49" t="s">
        <v>1387</v>
      </c>
      <c r="BO49" s="6">
        <v>200000</v>
      </c>
      <c r="BP49" s="8" t="s">
        <v>1533</v>
      </c>
      <c r="BR49" s="8" t="s">
        <v>1595</v>
      </c>
    </row>
    <row r="50" spans="1:70" ht="42.5" customHeight="1" x14ac:dyDescent="0.35">
      <c r="A50" t="s">
        <v>1168</v>
      </c>
      <c r="B50" t="s">
        <v>1169</v>
      </c>
      <c r="C50" t="s">
        <v>170</v>
      </c>
      <c r="D50" t="s">
        <v>171</v>
      </c>
      <c r="E50" t="s">
        <v>172</v>
      </c>
      <c r="F50" t="s">
        <v>142</v>
      </c>
      <c r="G50" t="s">
        <v>173</v>
      </c>
      <c r="H50" t="s">
        <v>64</v>
      </c>
      <c r="I50" t="s">
        <v>174</v>
      </c>
      <c r="J50" t="s">
        <v>175</v>
      </c>
      <c r="K50" t="s">
        <v>176</v>
      </c>
      <c r="L50" t="s">
        <v>177</v>
      </c>
      <c r="M50" t="s">
        <v>178</v>
      </c>
      <c r="N50" t="s">
        <v>179</v>
      </c>
      <c r="O50" t="s">
        <v>180</v>
      </c>
      <c r="P50" t="s">
        <v>181</v>
      </c>
      <c r="Q50" t="s">
        <v>182</v>
      </c>
      <c r="R50" t="s">
        <v>183</v>
      </c>
      <c r="S50" t="s">
        <v>169</v>
      </c>
      <c r="T50" t="s">
        <v>184</v>
      </c>
      <c r="U50" t="s">
        <v>185</v>
      </c>
      <c r="V50" t="s">
        <v>186</v>
      </c>
      <c r="W50" t="s">
        <v>142</v>
      </c>
      <c r="X50" t="s">
        <v>187</v>
      </c>
      <c r="Y50" s="2" t="s">
        <v>188</v>
      </c>
      <c r="Z50" s="2" t="s">
        <v>189</v>
      </c>
      <c r="AA50" t="s">
        <v>190</v>
      </c>
      <c r="AB50" t="s">
        <v>191</v>
      </c>
      <c r="AC50" t="s">
        <v>192</v>
      </c>
      <c r="AD50" s="2" t="s">
        <v>193</v>
      </c>
      <c r="AE50" t="s">
        <v>194</v>
      </c>
      <c r="AF50" t="s">
        <v>69</v>
      </c>
      <c r="AG50" s="2" t="s">
        <v>195</v>
      </c>
      <c r="AH50" s="2" t="s">
        <v>196</v>
      </c>
      <c r="AI50" s="2" t="s">
        <v>1514</v>
      </c>
      <c r="AJ50" s="2" t="s">
        <v>197</v>
      </c>
      <c r="AK50" s="2" t="s">
        <v>198</v>
      </c>
      <c r="AL50" s="2" t="s">
        <v>199</v>
      </c>
      <c r="AM50" s="2" t="s">
        <v>200</v>
      </c>
      <c r="AN50" s="2" t="s">
        <v>201</v>
      </c>
      <c r="AO50" s="2" t="s">
        <v>202</v>
      </c>
      <c r="AR50" t="s">
        <v>70</v>
      </c>
      <c r="AS50" t="s">
        <v>116</v>
      </c>
      <c r="AZ50" t="s">
        <v>70</v>
      </c>
      <c r="BA50" t="s">
        <v>203</v>
      </c>
      <c r="BD50" s="2" t="s">
        <v>72</v>
      </c>
      <c r="BE50" t="s">
        <v>204</v>
      </c>
      <c r="BF50" t="s">
        <v>205</v>
      </c>
      <c r="BG50" s="2" t="s">
        <v>206</v>
      </c>
      <c r="BH50" t="s">
        <v>207</v>
      </c>
      <c r="BI50" s="2" t="s">
        <v>208</v>
      </c>
      <c r="BJ50" t="s">
        <v>209</v>
      </c>
      <c r="BK50" t="s">
        <v>210</v>
      </c>
      <c r="BL50" t="s">
        <v>211</v>
      </c>
      <c r="BM50" t="s">
        <v>168</v>
      </c>
      <c r="BN50" t="s">
        <v>173</v>
      </c>
      <c r="BO50" s="6">
        <v>125000</v>
      </c>
      <c r="BP50" t="s">
        <v>1535</v>
      </c>
      <c r="BR50" s="8" t="s">
        <v>1585</v>
      </c>
    </row>
    <row r="51" spans="1:70" ht="42.5" customHeight="1" x14ac:dyDescent="0.35">
      <c r="A51" t="s">
        <v>1171</v>
      </c>
      <c r="B51" t="s">
        <v>75</v>
      </c>
      <c r="C51" t="s">
        <v>589</v>
      </c>
      <c r="D51" t="s">
        <v>590</v>
      </c>
      <c r="E51" t="s">
        <v>591</v>
      </c>
      <c r="F51" t="s">
        <v>445</v>
      </c>
      <c r="G51" t="s">
        <v>63</v>
      </c>
      <c r="H51" t="s">
        <v>64</v>
      </c>
      <c r="I51" t="s">
        <v>592</v>
      </c>
      <c r="J51" t="s">
        <v>593</v>
      </c>
      <c r="K51" t="s">
        <v>594</v>
      </c>
      <c r="L51" t="s">
        <v>595</v>
      </c>
      <c r="M51" t="s">
        <v>66</v>
      </c>
      <c r="N51" t="s">
        <v>588</v>
      </c>
      <c r="O51" t="s">
        <v>596</v>
      </c>
      <c r="P51" t="s">
        <v>597</v>
      </c>
      <c r="Q51" t="s">
        <v>598</v>
      </c>
      <c r="R51" t="s">
        <v>599</v>
      </c>
      <c r="S51" t="s">
        <v>588</v>
      </c>
      <c r="T51" t="s">
        <v>600</v>
      </c>
      <c r="U51" t="s">
        <v>601</v>
      </c>
      <c r="V51" t="s">
        <v>455</v>
      </c>
      <c r="W51" t="s">
        <v>567</v>
      </c>
      <c r="X51" t="s">
        <v>602</v>
      </c>
      <c r="Y51" s="2" t="s">
        <v>603</v>
      </c>
      <c r="Z51" s="2" t="s">
        <v>604</v>
      </c>
      <c r="AA51" t="s">
        <v>498</v>
      </c>
      <c r="AB51" t="s">
        <v>499</v>
      </c>
      <c r="AC51" t="s">
        <v>589</v>
      </c>
      <c r="AD51" s="2" t="s">
        <v>605</v>
      </c>
      <c r="AE51" t="s">
        <v>606</v>
      </c>
      <c r="AF51" t="s">
        <v>69</v>
      </c>
      <c r="AG51" s="2" t="s">
        <v>607</v>
      </c>
      <c r="AH51" s="2" t="s">
        <v>608</v>
      </c>
      <c r="AI51" s="2" t="s">
        <v>609</v>
      </c>
      <c r="AJ51" s="2" t="s">
        <v>610</v>
      </c>
      <c r="AK51" s="2" t="s">
        <v>611</v>
      </c>
      <c r="AL51" s="2" t="s">
        <v>612</v>
      </c>
      <c r="AM51" s="2" t="s">
        <v>613</v>
      </c>
      <c r="AN51" s="2" t="s">
        <v>614</v>
      </c>
      <c r="AO51" s="2" t="s">
        <v>615</v>
      </c>
      <c r="AP51" t="s">
        <v>70</v>
      </c>
      <c r="AQ51" t="s">
        <v>71</v>
      </c>
      <c r="BD51" s="2" t="s">
        <v>328</v>
      </c>
      <c r="BE51" t="s">
        <v>616</v>
      </c>
      <c r="BF51" t="s">
        <v>286</v>
      </c>
      <c r="BG51" s="2" t="s">
        <v>206</v>
      </c>
      <c r="BH51" t="s">
        <v>73</v>
      </c>
      <c r="BI51" s="2" t="s">
        <v>617</v>
      </c>
      <c r="BJ51" s="2" t="s">
        <v>618</v>
      </c>
      <c r="BK51" t="s">
        <v>619</v>
      </c>
      <c r="BN51" t="s">
        <v>620</v>
      </c>
      <c r="BO51" s="6">
        <v>100000</v>
      </c>
      <c r="BP51" s="8" t="s">
        <v>1535</v>
      </c>
      <c r="BR51" s="8" t="s">
        <v>1582</v>
      </c>
    </row>
    <row r="52" spans="1:70" ht="42.5" customHeight="1" x14ac:dyDescent="0.35">
      <c r="A52" t="s">
        <v>1172</v>
      </c>
      <c r="B52" t="s">
        <v>1173</v>
      </c>
      <c r="C52" t="s">
        <v>1544</v>
      </c>
      <c r="AD52" t="s">
        <v>1545</v>
      </c>
      <c r="AF52" t="s">
        <v>1547</v>
      </c>
      <c r="BO52" s="6">
        <v>500000</v>
      </c>
      <c r="BP52" t="s">
        <v>1533</v>
      </c>
      <c r="BR52" s="8" t="s">
        <v>1585</v>
      </c>
    </row>
    <row r="53" spans="1:70" ht="42.5" customHeight="1" x14ac:dyDescent="0.35">
      <c r="A53" t="s">
        <v>1176</v>
      </c>
      <c r="B53" t="s">
        <v>1177</v>
      </c>
      <c r="C53" t="s">
        <v>867</v>
      </c>
      <c r="D53" t="s">
        <v>868</v>
      </c>
      <c r="E53" t="s">
        <v>869</v>
      </c>
      <c r="F53" t="s">
        <v>870</v>
      </c>
      <c r="G53" t="s">
        <v>63</v>
      </c>
      <c r="H53" t="s">
        <v>64</v>
      </c>
      <c r="I53" t="s">
        <v>871</v>
      </c>
      <c r="J53" t="s">
        <v>872</v>
      </c>
      <c r="K53" t="s">
        <v>873</v>
      </c>
      <c r="L53" t="s">
        <v>874</v>
      </c>
      <c r="M53" t="s">
        <v>875</v>
      </c>
      <c r="N53" t="s">
        <v>866</v>
      </c>
      <c r="O53" t="s">
        <v>876</v>
      </c>
      <c r="P53" t="s">
        <v>877</v>
      </c>
      <c r="Q53" t="s">
        <v>878</v>
      </c>
      <c r="R53" t="s">
        <v>879</v>
      </c>
      <c r="S53" t="s">
        <v>880</v>
      </c>
      <c r="T53" t="s">
        <v>881</v>
      </c>
      <c r="U53" t="s">
        <v>882</v>
      </c>
      <c r="V53" t="s">
        <v>566</v>
      </c>
      <c r="W53" t="s">
        <v>883</v>
      </c>
      <c r="X53" t="s">
        <v>884</v>
      </c>
      <c r="Y53" s="2" t="s">
        <v>885</v>
      </c>
      <c r="Z53" s="2" t="s">
        <v>886</v>
      </c>
      <c r="AA53" t="s">
        <v>146</v>
      </c>
      <c r="AB53" t="s">
        <v>314</v>
      </c>
      <c r="AC53" t="s">
        <v>887</v>
      </c>
      <c r="AD53" s="2" t="s">
        <v>888</v>
      </c>
      <c r="AE53" t="s">
        <v>194</v>
      </c>
      <c r="AF53" t="s">
        <v>69</v>
      </c>
      <c r="AG53" s="2" t="s">
        <v>889</v>
      </c>
      <c r="AH53" s="2" t="s">
        <v>890</v>
      </c>
      <c r="AI53" s="2" t="s">
        <v>891</v>
      </c>
      <c r="AJ53" s="2" t="s">
        <v>892</v>
      </c>
      <c r="AK53" t="s">
        <v>893</v>
      </c>
      <c r="AL53" s="2" t="s">
        <v>894</v>
      </c>
      <c r="AM53" s="2" t="s">
        <v>895</v>
      </c>
      <c r="AN53" s="2" t="s">
        <v>896</v>
      </c>
      <c r="AO53" s="2" t="s">
        <v>896</v>
      </c>
      <c r="BD53" s="2" t="s">
        <v>112</v>
      </c>
      <c r="BE53" t="s">
        <v>897</v>
      </c>
      <c r="BF53" t="s">
        <v>205</v>
      </c>
      <c r="BG53" s="2" t="s">
        <v>206</v>
      </c>
      <c r="BH53" t="s">
        <v>71</v>
      </c>
      <c r="BI53" s="2" t="s">
        <v>898</v>
      </c>
      <c r="BJ53" t="s">
        <v>899</v>
      </c>
      <c r="BN53" s="8" t="s">
        <v>1551</v>
      </c>
      <c r="BO53" s="6">
        <v>200000</v>
      </c>
      <c r="BP53" s="8" t="s">
        <v>1535</v>
      </c>
      <c r="BR53" s="8" t="s">
        <v>1580</v>
      </c>
    </row>
    <row r="54" spans="1:70" s="15" customFormat="1" ht="42.5" customHeight="1" x14ac:dyDescent="0.35">
      <c r="A54" t="s">
        <v>1176</v>
      </c>
      <c r="B54" t="s">
        <v>1177</v>
      </c>
      <c r="C54" s="15" t="s">
        <v>867</v>
      </c>
      <c r="D54" t="s">
        <v>868</v>
      </c>
      <c r="E54" t="s">
        <v>869</v>
      </c>
      <c r="F54" t="s">
        <v>870</v>
      </c>
      <c r="G54" t="s">
        <v>63</v>
      </c>
      <c r="H54" t="s">
        <v>64</v>
      </c>
      <c r="I54" t="s">
        <v>871</v>
      </c>
      <c r="J54" t="s">
        <v>872</v>
      </c>
      <c r="K54" t="s">
        <v>873</v>
      </c>
      <c r="L54" t="s">
        <v>874</v>
      </c>
      <c r="M54" t="s">
        <v>875</v>
      </c>
      <c r="N54" t="s">
        <v>866</v>
      </c>
      <c r="O54" t="s">
        <v>876</v>
      </c>
      <c r="P54" t="s">
        <v>877</v>
      </c>
      <c r="Q54" t="s">
        <v>878</v>
      </c>
      <c r="R54" t="s">
        <v>879</v>
      </c>
      <c r="S54" t="s">
        <v>880</v>
      </c>
      <c r="T54" t="s">
        <v>881</v>
      </c>
      <c r="U54" t="s">
        <v>882</v>
      </c>
      <c r="V54" t="s">
        <v>566</v>
      </c>
      <c r="W54" t="s">
        <v>883</v>
      </c>
      <c r="X54" t="s">
        <v>884</v>
      </c>
      <c r="Y54" s="2" t="s">
        <v>885</v>
      </c>
      <c r="Z54" s="2" t="s">
        <v>886</v>
      </c>
      <c r="AA54" t="s">
        <v>146</v>
      </c>
      <c r="AB54" t="s">
        <v>314</v>
      </c>
      <c r="AC54" t="s">
        <v>887</v>
      </c>
      <c r="AD54" s="16" t="s">
        <v>888</v>
      </c>
      <c r="AE54" t="s">
        <v>194</v>
      </c>
      <c r="AF54" s="15" t="s">
        <v>69</v>
      </c>
      <c r="AG54" s="2" t="s">
        <v>889</v>
      </c>
      <c r="AH54" s="2" t="s">
        <v>890</v>
      </c>
      <c r="AI54" s="2" t="s">
        <v>891</v>
      </c>
      <c r="AJ54" s="2" t="s">
        <v>892</v>
      </c>
      <c r="AK54" t="s">
        <v>893</v>
      </c>
      <c r="AL54" s="2" t="s">
        <v>894</v>
      </c>
      <c r="AM54" s="2" t="s">
        <v>895</v>
      </c>
      <c r="AN54" s="2" t="s">
        <v>896</v>
      </c>
      <c r="AO54" s="2" t="s">
        <v>896</v>
      </c>
      <c r="AP54"/>
      <c r="AQ54"/>
      <c r="AR54"/>
      <c r="AS54"/>
      <c r="AT54"/>
      <c r="AU54"/>
      <c r="AV54"/>
      <c r="AW54"/>
      <c r="AX54"/>
      <c r="AY54"/>
      <c r="AZ54"/>
      <c r="BA54"/>
      <c r="BB54"/>
      <c r="BC54"/>
      <c r="BD54" s="2" t="s">
        <v>112</v>
      </c>
      <c r="BE54" t="s">
        <v>897</v>
      </c>
      <c r="BF54" t="s">
        <v>205</v>
      </c>
      <c r="BG54" s="2" t="s">
        <v>206</v>
      </c>
      <c r="BH54" t="s">
        <v>71</v>
      </c>
      <c r="BI54" s="2" t="s">
        <v>898</v>
      </c>
      <c r="BJ54" t="s">
        <v>899</v>
      </c>
      <c r="BK54"/>
      <c r="BM54"/>
      <c r="BN54" s="18" t="s">
        <v>1551</v>
      </c>
      <c r="BO54" s="17">
        <v>50000</v>
      </c>
      <c r="BP54" s="18" t="s">
        <v>1566</v>
      </c>
      <c r="BR54" s="18" t="s">
        <v>1586</v>
      </c>
    </row>
    <row r="55" spans="1:70" ht="42.5" customHeight="1" x14ac:dyDescent="0.35">
      <c r="A55" t="s">
        <v>1210</v>
      </c>
      <c r="B55" t="s">
        <v>1211</v>
      </c>
      <c r="C55" t="s">
        <v>720</v>
      </c>
      <c r="D55" t="s">
        <v>721</v>
      </c>
      <c r="E55" t="s">
        <v>722</v>
      </c>
      <c r="F55" t="s">
        <v>723</v>
      </c>
      <c r="G55" t="s">
        <v>63</v>
      </c>
      <c r="H55" t="s">
        <v>64</v>
      </c>
      <c r="I55" t="s">
        <v>724</v>
      </c>
      <c r="J55" t="s">
        <v>725</v>
      </c>
      <c r="K55" t="s">
        <v>726</v>
      </c>
      <c r="L55" t="s">
        <v>727</v>
      </c>
      <c r="M55" t="s">
        <v>728</v>
      </c>
      <c r="N55" t="s">
        <v>719</v>
      </c>
      <c r="O55" t="s">
        <v>729</v>
      </c>
      <c r="P55" t="s">
        <v>730</v>
      </c>
      <c r="Q55" t="s">
        <v>731</v>
      </c>
      <c r="R55" t="s">
        <v>224</v>
      </c>
      <c r="S55" t="s">
        <v>732</v>
      </c>
      <c r="T55" t="s">
        <v>733</v>
      </c>
      <c r="U55" t="s">
        <v>67</v>
      </c>
      <c r="V55" t="s">
        <v>734</v>
      </c>
      <c r="W55" t="s">
        <v>735</v>
      </c>
      <c r="X55" t="s">
        <v>736</v>
      </c>
      <c r="Y55" s="2" t="s">
        <v>737</v>
      </c>
      <c r="Z55" s="2" t="s">
        <v>738</v>
      </c>
      <c r="AA55" t="s">
        <v>498</v>
      </c>
      <c r="AB55" t="s">
        <v>499</v>
      </c>
      <c r="AC55" t="s">
        <v>231</v>
      </c>
      <c r="AD55" s="2" t="s">
        <v>739</v>
      </c>
      <c r="AE55" t="s">
        <v>149</v>
      </c>
      <c r="AF55" t="s">
        <v>537</v>
      </c>
      <c r="AG55" s="2" t="s">
        <v>740</v>
      </c>
      <c r="AH55" s="2" t="s">
        <v>741</v>
      </c>
      <c r="AI55" s="2" t="s">
        <v>742</v>
      </c>
      <c r="AJ55" s="2" t="s">
        <v>743</v>
      </c>
      <c r="AK55" s="2" t="s">
        <v>744</v>
      </c>
      <c r="AL55" s="2" t="s">
        <v>745</v>
      </c>
      <c r="AM55" s="2" t="s">
        <v>746</v>
      </c>
      <c r="AN55" s="2" t="s">
        <v>747</v>
      </c>
      <c r="AO55" s="2" t="s">
        <v>748</v>
      </c>
      <c r="AP55" t="s">
        <v>70</v>
      </c>
      <c r="AQ55" t="s">
        <v>384</v>
      </c>
      <c r="BD55" s="2" t="s">
        <v>112</v>
      </c>
      <c r="BE55" t="s">
        <v>749</v>
      </c>
      <c r="BF55" s="2" t="s">
        <v>114</v>
      </c>
      <c r="BG55" s="2" t="s">
        <v>206</v>
      </c>
      <c r="BH55" t="s">
        <v>750</v>
      </c>
      <c r="BI55" s="2" t="s">
        <v>751</v>
      </c>
      <c r="BJ55" s="2" t="s">
        <v>752</v>
      </c>
      <c r="BK55" t="s">
        <v>753</v>
      </c>
      <c r="BN55" t="s">
        <v>121</v>
      </c>
      <c r="BO55" s="6">
        <v>100000</v>
      </c>
      <c r="BP55" s="8" t="s">
        <v>1535</v>
      </c>
      <c r="BR55" s="8" t="s">
        <v>1582</v>
      </c>
    </row>
    <row r="56" spans="1:70" s="15" customFormat="1" ht="42.5" customHeight="1" x14ac:dyDescent="0.35">
      <c r="A56" t="s">
        <v>1283</v>
      </c>
      <c r="B56" t="s">
        <v>1284</v>
      </c>
      <c r="C56" s="15" t="s">
        <v>1479</v>
      </c>
      <c r="D56" t="s">
        <v>1480</v>
      </c>
      <c r="E56" t="s">
        <v>1481</v>
      </c>
      <c r="F56" t="s">
        <v>1482</v>
      </c>
      <c r="G56" t="s">
        <v>63</v>
      </c>
      <c r="H56" t="s">
        <v>64</v>
      </c>
      <c r="I56" t="s">
        <v>481</v>
      </c>
      <c r="J56" t="s">
        <v>1483</v>
      </c>
      <c r="K56" t="s">
        <v>1484</v>
      </c>
      <c r="L56" t="s">
        <v>1485</v>
      </c>
      <c r="M56" t="s">
        <v>416</v>
      </c>
      <c r="N56" t="s">
        <v>1486</v>
      </c>
      <c r="O56" t="s">
        <v>1487</v>
      </c>
      <c r="P56" t="s">
        <v>1488</v>
      </c>
      <c r="Q56" t="s">
        <v>1489</v>
      </c>
      <c r="R56" t="s">
        <v>1490</v>
      </c>
      <c r="S56" t="s">
        <v>1478</v>
      </c>
      <c r="T56" t="s">
        <v>1491</v>
      </c>
      <c r="U56" t="s">
        <v>1492</v>
      </c>
      <c r="V56" t="s">
        <v>846</v>
      </c>
      <c r="W56" t="s">
        <v>268</v>
      </c>
      <c r="X56" t="s">
        <v>1493</v>
      </c>
      <c r="Y56" s="2" t="s">
        <v>1494</v>
      </c>
      <c r="Z56" s="2" t="s">
        <v>1495</v>
      </c>
      <c r="AA56" t="s">
        <v>1496</v>
      </c>
      <c r="AB56" t="s">
        <v>1497</v>
      </c>
      <c r="AC56" t="s">
        <v>1056</v>
      </c>
      <c r="AD56" s="16" t="s">
        <v>1498</v>
      </c>
      <c r="AE56" t="s">
        <v>1499</v>
      </c>
      <c r="AF56" s="15" t="s">
        <v>69</v>
      </c>
      <c r="AG56" s="2" t="s">
        <v>1500</v>
      </c>
      <c r="AH56" s="2" t="s">
        <v>1501</v>
      </c>
      <c r="AI56" s="2" t="s">
        <v>1502</v>
      </c>
      <c r="AJ56" s="2" t="s">
        <v>1503</v>
      </c>
      <c r="AK56" s="2" t="s">
        <v>1504</v>
      </c>
      <c r="AL56" s="2" t="s">
        <v>1505</v>
      </c>
      <c r="AM56" s="2" t="s">
        <v>1506</v>
      </c>
      <c r="AN56" s="2" t="s">
        <v>1507</v>
      </c>
      <c r="AO56" s="2" t="s">
        <v>1508</v>
      </c>
      <c r="AP56"/>
      <c r="AQ56"/>
      <c r="AR56"/>
      <c r="AS56"/>
      <c r="AT56"/>
      <c r="AU56"/>
      <c r="AV56"/>
      <c r="AW56"/>
      <c r="AX56"/>
      <c r="AY56"/>
      <c r="AZ56"/>
      <c r="BA56"/>
      <c r="BB56"/>
      <c r="BC56"/>
      <c r="BD56" s="2" t="s">
        <v>72</v>
      </c>
      <c r="BE56" t="s">
        <v>1509</v>
      </c>
      <c r="BF56" s="2" t="s">
        <v>244</v>
      </c>
      <c r="BG56" s="2" t="s">
        <v>206</v>
      </c>
      <c r="BH56" t="s">
        <v>71</v>
      </c>
      <c r="BI56" s="2" t="s">
        <v>1510</v>
      </c>
      <c r="BJ56" s="2" t="s">
        <v>1511</v>
      </c>
      <c r="BK56"/>
      <c r="BM56" t="s">
        <v>518</v>
      </c>
      <c r="BN56" s="15" t="s">
        <v>518</v>
      </c>
      <c r="BO56" s="17">
        <v>275000</v>
      </c>
      <c r="BP56" s="18" t="s">
        <v>1535</v>
      </c>
      <c r="BR56" s="18" t="s">
        <v>1586</v>
      </c>
    </row>
    <row r="57" spans="1:70" s="15" customFormat="1" ht="42.5" customHeight="1" x14ac:dyDescent="0.35">
      <c r="A57" t="s">
        <v>1283</v>
      </c>
      <c r="B57" t="s">
        <v>1284</v>
      </c>
      <c r="C57" s="15" t="s">
        <v>1479</v>
      </c>
      <c r="D57" t="s">
        <v>1480</v>
      </c>
      <c r="E57" t="s">
        <v>1481</v>
      </c>
      <c r="F57" t="s">
        <v>1482</v>
      </c>
      <c r="G57" t="s">
        <v>63</v>
      </c>
      <c r="H57" t="s">
        <v>64</v>
      </c>
      <c r="I57" t="s">
        <v>481</v>
      </c>
      <c r="J57" t="s">
        <v>1483</v>
      </c>
      <c r="K57" t="s">
        <v>1484</v>
      </c>
      <c r="L57" t="s">
        <v>1485</v>
      </c>
      <c r="M57" t="s">
        <v>416</v>
      </c>
      <c r="N57" t="s">
        <v>1486</v>
      </c>
      <c r="O57" t="s">
        <v>1487</v>
      </c>
      <c r="P57" t="s">
        <v>1488</v>
      </c>
      <c r="Q57" t="s">
        <v>1489</v>
      </c>
      <c r="R57" t="s">
        <v>1490</v>
      </c>
      <c r="S57" t="s">
        <v>1478</v>
      </c>
      <c r="T57" t="s">
        <v>1491</v>
      </c>
      <c r="U57" t="s">
        <v>1492</v>
      </c>
      <c r="V57" t="s">
        <v>846</v>
      </c>
      <c r="W57" t="s">
        <v>268</v>
      </c>
      <c r="X57" t="s">
        <v>1493</v>
      </c>
      <c r="Y57" s="2" t="s">
        <v>1494</v>
      </c>
      <c r="Z57" s="2" t="s">
        <v>1495</v>
      </c>
      <c r="AA57" t="s">
        <v>1496</v>
      </c>
      <c r="AB57" t="s">
        <v>1497</v>
      </c>
      <c r="AC57" t="s">
        <v>1056</v>
      </c>
      <c r="AD57" s="16" t="s">
        <v>1498</v>
      </c>
      <c r="AE57" t="s">
        <v>1499</v>
      </c>
      <c r="AF57" s="15" t="s">
        <v>69</v>
      </c>
      <c r="AG57" s="2" t="s">
        <v>1500</v>
      </c>
      <c r="AH57" s="2" t="s">
        <v>1501</v>
      </c>
      <c r="AI57" s="2" t="s">
        <v>1502</v>
      </c>
      <c r="AJ57" s="2" t="s">
        <v>1503</v>
      </c>
      <c r="AK57" s="2" t="s">
        <v>1504</v>
      </c>
      <c r="AL57" s="2" t="s">
        <v>1505</v>
      </c>
      <c r="AM57" s="2" t="s">
        <v>1506</v>
      </c>
      <c r="AN57" s="2" t="s">
        <v>1507</v>
      </c>
      <c r="AO57" s="2" t="s">
        <v>1508</v>
      </c>
      <c r="AP57"/>
      <c r="AQ57"/>
      <c r="AR57"/>
      <c r="AS57"/>
      <c r="AT57"/>
      <c r="AU57"/>
      <c r="AV57"/>
      <c r="AW57"/>
      <c r="AX57"/>
      <c r="AY57"/>
      <c r="AZ57"/>
      <c r="BA57"/>
      <c r="BB57"/>
      <c r="BC57"/>
      <c r="BD57" s="2" t="s">
        <v>72</v>
      </c>
      <c r="BE57" t="s">
        <v>1509</v>
      </c>
      <c r="BF57" s="2" t="s">
        <v>244</v>
      </c>
      <c r="BG57" s="2" t="s">
        <v>206</v>
      </c>
      <c r="BH57" t="s">
        <v>71</v>
      </c>
      <c r="BI57" s="2" t="s">
        <v>1510</v>
      </c>
      <c r="BJ57" s="2" t="s">
        <v>1511</v>
      </c>
      <c r="BK57"/>
      <c r="BM57" t="s">
        <v>518</v>
      </c>
      <c r="BN57" s="15" t="s">
        <v>518</v>
      </c>
      <c r="BO57" s="17">
        <v>30000</v>
      </c>
      <c r="BP57" s="18" t="s">
        <v>1535</v>
      </c>
      <c r="BR57" s="18" t="s">
        <v>1586</v>
      </c>
    </row>
    <row r="58" spans="1:70" ht="42.5" customHeight="1" x14ac:dyDescent="0.35">
      <c r="A58" t="s">
        <v>1283</v>
      </c>
      <c r="B58" t="s">
        <v>1284</v>
      </c>
      <c r="C58" t="s">
        <v>1479</v>
      </c>
      <c r="D58" t="s">
        <v>1480</v>
      </c>
      <c r="E58" t="s">
        <v>1481</v>
      </c>
      <c r="F58" t="s">
        <v>1482</v>
      </c>
      <c r="G58" t="s">
        <v>63</v>
      </c>
      <c r="H58" t="s">
        <v>64</v>
      </c>
      <c r="I58" t="s">
        <v>481</v>
      </c>
      <c r="J58" t="s">
        <v>1483</v>
      </c>
      <c r="K58" t="s">
        <v>1484</v>
      </c>
      <c r="L58" t="s">
        <v>1485</v>
      </c>
      <c r="M58" t="s">
        <v>416</v>
      </c>
      <c r="N58" t="s">
        <v>1486</v>
      </c>
      <c r="O58" t="s">
        <v>1487</v>
      </c>
      <c r="P58" t="s">
        <v>1488</v>
      </c>
      <c r="Q58" t="s">
        <v>1489</v>
      </c>
      <c r="R58" t="s">
        <v>1490</v>
      </c>
      <c r="S58" t="s">
        <v>1478</v>
      </c>
      <c r="T58" t="s">
        <v>1491</v>
      </c>
      <c r="U58" t="s">
        <v>1492</v>
      </c>
      <c r="V58" t="s">
        <v>846</v>
      </c>
      <c r="W58" t="s">
        <v>268</v>
      </c>
      <c r="X58" t="s">
        <v>1493</v>
      </c>
      <c r="Y58" s="2" t="s">
        <v>1494</v>
      </c>
      <c r="Z58" s="2" t="s">
        <v>1495</v>
      </c>
      <c r="AA58" t="s">
        <v>1496</v>
      </c>
      <c r="AB58" t="s">
        <v>1497</v>
      </c>
      <c r="AC58" t="s">
        <v>1056</v>
      </c>
      <c r="AD58" s="2" t="s">
        <v>1498</v>
      </c>
      <c r="AE58" t="s">
        <v>1499</v>
      </c>
      <c r="AF58" t="s">
        <v>69</v>
      </c>
      <c r="AG58" s="2" t="s">
        <v>1500</v>
      </c>
      <c r="AH58" s="2" t="s">
        <v>1501</v>
      </c>
      <c r="AI58" s="2" t="s">
        <v>1502</v>
      </c>
      <c r="AJ58" s="2" t="s">
        <v>1503</v>
      </c>
      <c r="AK58" s="2" t="s">
        <v>1504</v>
      </c>
      <c r="AL58" s="2" t="s">
        <v>1505</v>
      </c>
      <c r="AM58" s="2" t="s">
        <v>1506</v>
      </c>
      <c r="AN58" s="2" t="s">
        <v>1507</v>
      </c>
      <c r="AO58" s="2" t="s">
        <v>1508</v>
      </c>
      <c r="BD58" s="2" t="s">
        <v>72</v>
      </c>
      <c r="BE58" t="s">
        <v>1509</v>
      </c>
      <c r="BF58" s="2" t="s">
        <v>244</v>
      </c>
      <c r="BG58" s="2" t="s">
        <v>206</v>
      </c>
      <c r="BH58" t="s">
        <v>71</v>
      </c>
      <c r="BI58" s="2" t="s">
        <v>1510</v>
      </c>
      <c r="BJ58" s="2" t="s">
        <v>1511</v>
      </c>
      <c r="BM58" t="s">
        <v>518</v>
      </c>
      <c r="BN58" t="s">
        <v>518</v>
      </c>
      <c r="BO58" s="6">
        <v>150000</v>
      </c>
      <c r="BP58" s="8" t="s">
        <v>1535</v>
      </c>
      <c r="BR58" s="8" t="s">
        <v>1595</v>
      </c>
    </row>
    <row r="59" spans="1:70" s="15" customFormat="1" ht="42.5" customHeight="1" x14ac:dyDescent="0.35">
      <c r="A59" t="s">
        <v>1315</v>
      </c>
      <c r="B59" t="s">
        <v>1316</v>
      </c>
      <c r="C59" s="15" t="s">
        <v>1390</v>
      </c>
      <c r="D59" t="s">
        <v>1391</v>
      </c>
      <c r="E59" t="s">
        <v>1251</v>
      </c>
      <c r="F59" t="s">
        <v>1392</v>
      </c>
      <c r="G59" t="s">
        <v>63</v>
      </c>
      <c r="H59" t="s">
        <v>64</v>
      </c>
      <c r="I59" t="s">
        <v>1009</v>
      </c>
      <c r="J59" t="s">
        <v>1393</v>
      </c>
      <c r="K59" t="s">
        <v>303</v>
      </c>
      <c r="L59" t="s">
        <v>1394</v>
      </c>
      <c r="M59" t="s">
        <v>1395</v>
      </c>
      <c r="N59" t="s">
        <v>1396</v>
      </c>
      <c r="O59" t="s">
        <v>1397</v>
      </c>
      <c r="P59" t="s">
        <v>1398</v>
      </c>
      <c r="Q59" t="s">
        <v>1399</v>
      </c>
      <c r="R59" t="s">
        <v>259</v>
      </c>
      <c r="S59" t="s">
        <v>1400</v>
      </c>
      <c r="T59" t="s">
        <v>1401</v>
      </c>
      <c r="U59" t="s">
        <v>1402</v>
      </c>
      <c r="V59" t="s">
        <v>1403</v>
      </c>
      <c r="W59" t="s">
        <v>141</v>
      </c>
      <c r="X59" t="s">
        <v>1404</v>
      </c>
      <c r="Y59" t="s">
        <v>1405</v>
      </c>
      <c r="Z59" s="2" t="s">
        <v>1406</v>
      </c>
      <c r="AA59" t="s">
        <v>498</v>
      </c>
      <c r="AB59" t="s">
        <v>499</v>
      </c>
      <c r="AC59" t="s">
        <v>231</v>
      </c>
      <c r="AD59" s="16" t="s">
        <v>1407</v>
      </c>
      <c r="AE59" t="s">
        <v>273</v>
      </c>
      <c r="AF59" s="15" t="s">
        <v>102</v>
      </c>
      <c r="AG59" s="2" t="s">
        <v>1408</v>
      </c>
      <c r="AH59" s="2" t="s">
        <v>1409</v>
      </c>
      <c r="AI59" s="2" t="s">
        <v>1410</v>
      </c>
      <c r="AJ59" s="2" t="s">
        <v>1411</v>
      </c>
      <c r="AK59" s="2" t="s">
        <v>1412</v>
      </c>
      <c r="AL59" s="2" t="s">
        <v>1413</v>
      </c>
      <c r="AM59" s="2" t="s">
        <v>1414</v>
      </c>
      <c r="AN59" s="2" t="s">
        <v>1415</v>
      </c>
      <c r="AO59" s="2" t="s">
        <v>1416</v>
      </c>
      <c r="AP59"/>
      <c r="AQ59"/>
      <c r="AR59"/>
      <c r="AS59"/>
      <c r="AT59"/>
      <c r="AU59"/>
      <c r="AV59"/>
      <c r="AW59"/>
      <c r="AX59"/>
      <c r="AY59"/>
      <c r="AZ59"/>
      <c r="BA59"/>
      <c r="BB59"/>
      <c r="BC59"/>
      <c r="BD59" s="2" t="s">
        <v>242</v>
      </c>
      <c r="BE59" t="s">
        <v>1417</v>
      </c>
      <c r="BF59" s="2" t="s">
        <v>1418</v>
      </c>
      <c r="BG59" s="2" t="s">
        <v>206</v>
      </c>
      <c r="BH59" t="s">
        <v>1419</v>
      </c>
      <c r="BI59" s="2" t="s">
        <v>1420</v>
      </c>
      <c r="BJ59" s="2" t="s">
        <v>1421</v>
      </c>
      <c r="BK59"/>
      <c r="BM59" t="s">
        <v>1522</v>
      </c>
      <c r="BN59" s="15" t="s">
        <v>1517</v>
      </c>
      <c r="BO59" s="17">
        <v>200000</v>
      </c>
      <c r="BP59" s="18" t="s">
        <v>1535</v>
      </c>
      <c r="BR59" s="18" t="s">
        <v>1586</v>
      </c>
    </row>
    <row r="60" spans="1:70" ht="42.5" customHeight="1" x14ac:dyDescent="0.35">
      <c r="A60" t="s">
        <v>1315</v>
      </c>
      <c r="B60" t="s">
        <v>1316</v>
      </c>
      <c r="C60" t="s">
        <v>1390</v>
      </c>
      <c r="D60" t="s">
        <v>1391</v>
      </c>
      <c r="E60" t="s">
        <v>1251</v>
      </c>
      <c r="F60" t="s">
        <v>1392</v>
      </c>
      <c r="G60" t="s">
        <v>63</v>
      </c>
      <c r="H60" t="s">
        <v>64</v>
      </c>
      <c r="I60" t="s">
        <v>1009</v>
      </c>
      <c r="J60" t="s">
        <v>1393</v>
      </c>
      <c r="K60" t="s">
        <v>303</v>
      </c>
      <c r="L60" t="s">
        <v>1394</v>
      </c>
      <c r="M60" t="s">
        <v>1395</v>
      </c>
      <c r="N60" t="s">
        <v>1396</v>
      </c>
      <c r="O60" t="s">
        <v>1397</v>
      </c>
      <c r="P60" t="s">
        <v>1398</v>
      </c>
      <c r="Q60" t="s">
        <v>1399</v>
      </c>
      <c r="R60" t="s">
        <v>259</v>
      </c>
      <c r="S60" t="s">
        <v>1400</v>
      </c>
      <c r="T60" t="s">
        <v>1401</v>
      </c>
      <c r="U60" t="s">
        <v>1402</v>
      </c>
      <c r="V60" t="s">
        <v>1403</v>
      </c>
      <c r="W60" t="s">
        <v>141</v>
      </c>
      <c r="X60" t="s">
        <v>1404</v>
      </c>
      <c r="Y60" t="s">
        <v>1405</v>
      </c>
      <c r="Z60" s="2" t="s">
        <v>1406</v>
      </c>
      <c r="AA60" t="s">
        <v>498</v>
      </c>
      <c r="AB60" t="s">
        <v>499</v>
      </c>
      <c r="AC60" t="s">
        <v>231</v>
      </c>
      <c r="AD60" s="2" t="s">
        <v>1407</v>
      </c>
      <c r="AE60" t="s">
        <v>273</v>
      </c>
      <c r="AF60" t="s">
        <v>102</v>
      </c>
      <c r="AG60" s="2" t="s">
        <v>1408</v>
      </c>
      <c r="AH60" s="2" t="s">
        <v>1409</v>
      </c>
      <c r="AI60" s="2" t="s">
        <v>1410</v>
      </c>
      <c r="AJ60" s="2" t="s">
        <v>1411</v>
      </c>
      <c r="AK60" s="2" t="s">
        <v>1412</v>
      </c>
      <c r="AL60" s="2" t="s">
        <v>1413</v>
      </c>
      <c r="AM60" s="2" t="s">
        <v>1414</v>
      </c>
      <c r="AN60" s="2" t="s">
        <v>1415</v>
      </c>
      <c r="AO60" s="2" t="s">
        <v>1416</v>
      </c>
      <c r="BD60" s="2" t="s">
        <v>242</v>
      </c>
      <c r="BE60" t="s">
        <v>1417</v>
      </c>
      <c r="BF60" s="2" t="s">
        <v>1418</v>
      </c>
      <c r="BG60" s="2" t="s">
        <v>206</v>
      </c>
      <c r="BH60" t="s">
        <v>1419</v>
      </c>
      <c r="BI60" s="2" t="s">
        <v>1420</v>
      </c>
      <c r="BJ60" s="2" t="s">
        <v>1421</v>
      </c>
      <c r="BM60" t="s">
        <v>1522</v>
      </c>
      <c r="BN60" t="s">
        <v>1517</v>
      </c>
      <c r="BO60" s="6">
        <v>200000</v>
      </c>
      <c r="BP60" s="8" t="s">
        <v>1535</v>
      </c>
      <c r="BR60" s="8" t="s">
        <v>1595</v>
      </c>
    </row>
    <row r="61" spans="1:70" s="15" customFormat="1" ht="42.5" customHeight="1" x14ac:dyDescent="0.35">
      <c r="A61"/>
      <c r="B61"/>
      <c r="C61" s="18" t="s">
        <v>1569</v>
      </c>
      <c r="D61"/>
      <c r="E61"/>
      <c r="F61"/>
      <c r="G61"/>
      <c r="H61"/>
      <c r="I61"/>
      <c r="J61"/>
      <c r="K61"/>
      <c r="L61"/>
      <c r="M61"/>
      <c r="N61"/>
      <c r="O61"/>
      <c r="P61"/>
      <c r="Q61"/>
      <c r="R61"/>
      <c r="S61"/>
      <c r="T61"/>
      <c r="U61"/>
      <c r="V61"/>
      <c r="W61"/>
      <c r="X61"/>
      <c r="Y61"/>
      <c r="Z61" s="2"/>
      <c r="AA61"/>
      <c r="AB61"/>
      <c r="AC61"/>
      <c r="AD61" s="31" t="s">
        <v>1577</v>
      </c>
      <c r="AE61"/>
      <c r="AF61" s="18" t="s">
        <v>1547</v>
      </c>
      <c r="AG61" s="2"/>
      <c r="AH61" s="2"/>
      <c r="AI61" s="2"/>
      <c r="AJ61" s="2"/>
      <c r="AK61" s="2"/>
      <c r="AL61" s="2"/>
      <c r="AM61" s="2"/>
      <c r="AN61" s="2"/>
      <c r="AO61" s="2"/>
      <c r="AP61"/>
      <c r="AQ61"/>
      <c r="AR61"/>
      <c r="AS61"/>
      <c r="AT61"/>
      <c r="AU61"/>
      <c r="AV61"/>
      <c r="AW61"/>
      <c r="AX61"/>
      <c r="AY61"/>
      <c r="AZ61"/>
      <c r="BA61"/>
      <c r="BB61"/>
      <c r="BC61"/>
      <c r="BD61" s="2"/>
      <c r="BE61"/>
      <c r="BF61" s="2"/>
      <c r="BG61" s="2"/>
      <c r="BH61"/>
      <c r="BI61" s="2"/>
      <c r="BJ61" s="2"/>
      <c r="BK61"/>
      <c r="BM61"/>
      <c r="BN61" s="18" t="s">
        <v>1578</v>
      </c>
      <c r="BO61" s="17">
        <v>250000</v>
      </c>
      <c r="BP61" s="18" t="s">
        <v>1530</v>
      </c>
      <c r="BR61" s="18" t="s">
        <v>1586</v>
      </c>
    </row>
    <row r="62" spans="1:70" ht="42.5" customHeight="1" x14ac:dyDescent="0.35">
      <c r="C62" s="18" t="s">
        <v>1569</v>
      </c>
      <c r="Z62" s="2"/>
      <c r="AD62" s="31" t="s">
        <v>1577</v>
      </c>
      <c r="AF62" s="18" t="s">
        <v>1547</v>
      </c>
      <c r="AG62" s="2"/>
      <c r="AH62" s="2"/>
      <c r="AI62" s="2"/>
      <c r="AJ62" s="2"/>
      <c r="AK62" s="2"/>
      <c r="AL62" s="2"/>
      <c r="AM62" s="2"/>
      <c r="AN62" s="2"/>
      <c r="AO62" s="2"/>
      <c r="BD62" s="2"/>
      <c r="BF62" s="2"/>
      <c r="BG62" s="2"/>
      <c r="BI62" s="2"/>
      <c r="BJ62" s="2"/>
      <c r="BL62" s="15"/>
      <c r="BN62" s="18" t="s">
        <v>1578</v>
      </c>
      <c r="BO62" s="17">
        <v>750000</v>
      </c>
      <c r="BP62" s="18" t="s">
        <v>1530</v>
      </c>
      <c r="BQ62" s="15"/>
      <c r="BR62" s="18" t="s">
        <v>1595</v>
      </c>
    </row>
    <row r="63" spans="1:70" ht="42.5" customHeight="1" x14ac:dyDescent="0.35">
      <c r="C63" s="8" t="s">
        <v>1552</v>
      </c>
      <c r="Z63" s="2"/>
      <c r="AD63" s="2" t="s">
        <v>1553</v>
      </c>
      <c r="AF63" s="8" t="s">
        <v>1536</v>
      </c>
      <c r="AG63" s="2"/>
      <c r="AH63" s="2"/>
      <c r="AI63" s="2"/>
      <c r="AJ63" s="2"/>
      <c r="AK63" s="2"/>
      <c r="AL63" s="2"/>
      <c r="AM63" s="2"/>
      <c r="AN63" s="2"/>
      <c r="AO63" s="2"/>
      <c r="BD63" s="2"/>
      <c r="BF63" s="2"/>
      <c r="BG63" s="2"/>
      <c r="BI63" s="2"/>
      <c r="BJ63" s="2"/>
      <c r="BN63" s="8" t="s">
        <v>1517</v>
      </c>
      <c r="BO63" s="6">
        <v>200000</v>
      </c>
      <c r="BP63" s="8" t="s">
        <v>1535</v>
      </c>
      <c r="BQ63" s="8" t="s">
        <v>1541</v>
      </c>
      <c r="BR63" s="8" t="s">
        <v>1580</v>
      </c>
    </row>
    <row r="64" spans="1:70" ht="42.5" customHeight="1" x14ac:dyDescent="0.35">
      <c r="A64" t="s">
        <v>1353</v>
      </c>
      <c r="B64" t="s">
        <v>1354</v>
      </c>
      <c r="C64" t="s">
        <v>1531</v>
      </c>
      <c r="AF64" t="s">
        <v>1547</v>
      </c>
      <c r="BN64" t="s">
        <v>1532</v>
      </c>
      <c r="BO64" s="6">
        <v>350000</v>
      </c>
      <c r="BP64" t="s">
        <v>1533</v>
      </c>
      <c r="BR64" s="8" t="s">
        <v>1585</v>
      </c>
    </row>
    <row r="65" spans="1:72" ht="42.5" customHeight="1" x14ac:dyDescent="0.35">
      <c r="A65" t="s">
        <v>1388</v>
      </c>
      <c r="B65" t="s">
        <v>1389</v>
      </c>
      <c r="C65" t="s">
        <v>756</v>
      </c>
      <c r="D65" t="s">
        <v>757</v>
      </c>
      <c r="E65" t="s">
        <v>758</v>
      </c>
      <c r="F65" t="s">
        <v>759</v>
      </c>
      <c r="G65" t="s">
        <v>63</v>
      </c>
      <c r="H65" t="s">
        <v>64</v>
      </c>
      <c r="I65" t="s">
        <v>760</v>
      </c>
      <c r="J65" t="s">
        <v>761</v>
      </c>
      <c r="K65" t="s">
        <v>762</v>
      </c>
      <c r="L65" t="s">
        <v>763</v>
      </c>
      <c r="M65" t="s">
        <v>764</v>
      </c>
      <c r="N65" t="s">
        <v>755</v>
      </c>
      <c r="O65" t="s">
        <v>765</v>
      </c>
      <c r="P65" t="s">
        <v>766</v>
      </c>
      <c r="Q65" t="s">
        <v>558</v>
      </c>
      <c r="R65" t="s">
        <v>767</v>
      </c>
      <c r="S65" t="s">
        <v>768</v>
      </c>
      <c r="T65" t="s">
        <v>769</v>
      </c>
      <c r="U65" t="s">
        <v>770</v>
      </c>
      <c r="V65" t="s">
        <v>71</v>
      </c>
      <c r="W65" t="s">
        <v>141</v>
      </c>
      <c r="X65" t="s">
        <v>771</v>
      </c>
      <c r="Y65" s="2" t="s">
        <v>772</v>
      </c>
      <c r="Z65" t="s">
        <v>773</v>
      </c>
      <c r="AA65" t="s">
        <v>146</v>
      </c>
      <c r="AB65" t="s">
        <v>314</v>
      </c>
      <c r="AC65" t="s">
        <v>231</v>
      </c>
      <c r="AD65" s="2" t="s">
        <v>774</v>
      </c>
      <c r="AE65" t="s">
        <v>775</v>
      </c>
      <c r="AF65" t="s">
        <v>69</v>
      </c>
      <c r="AG65" s="2" t="s">
        <v>776</v>
      </c>
      <c r="AH65" s="2" t="s">
        <v>777</v>
      </c>
      <c r="AI65" s="2" t="s">
        <v>778</v>
      </c>
      <c r="AJ65" s="2" t="s">
        <v>779</v>
      </c>
      <c r="AK65" s="2" t="s">
        <v>780</v>
      </c>
      <c r="AL65" s="2" t="s">
        <v>781</v>
      </c>
      <c r="AM65" s="2" t="s">
        <v>782</v>
      </c>
      <c r="AN65" s="2" t="s">
        <v>783</v>
      </c>
      <c r="AO65" s="2" t="s">
        <v>784</v>
      </c>
      <c r="BD65" s="2" t="s">
        <v>72</v>
      </c>
      <c r="BE65" t="s">
        <v>785</v>
      </c>
      <c r="BF65" t="s">
        <v>286</v>
      </c>
      <c r="BG65" s="2" t="s">
        <v>206</v>
      </c>
      <c r="BH65" t="s">
        <v>73</v>
      </c>
      <c r="BI65" s="2" t="s">
        <v>786</v>
      </c>
      <c r="BJ65" s="2" t="s">
        <v>787</v>
      </c>
      <c r="BK65" s="2" t="s">
        <v>788</v>
      </c>
      <c r="BN65" t="s">
        <v>291</v>
      </c>
      <c r="BO65" s="6">
        <v>150000</v>
      </c>
      <c r="BP65" s="8" t="s">
        <v>1535</v>
      </c>
      <c r="BR65" s="8" t="s">
        <v>1582</v>
      </c>
    </row>
    <row r="66" spans="1:72" ht="42.5" customHeight="1" x14ac:dyDescent="0.35">
      <c r="A66" t="s">
        <v>1422</v>
      </c>
      <c r="B66" t="s">
        <v>1423</v>
      </c>
      <c r="C66" t="s">
        <v>336</v>
      </c>
      <c r="D66" t="s">
        <v>337</v>
      </c>
      <c r="E66" t="s">
        <v>338</v>
      </c>
      <c r="F66" t="s">
        <v>62</v>
      </c>
      <c r="G66" t="s">
        <v>63</v>
      </c>
      <c r="H66" t="s">
        <v>127</v>
      </c>
      <c r="I66" t="s">
        <v>65</v>
      </c>
      <c r="J66" t="s">
        <v>339</v>
      </c>
      <c r="K66" t="s">
        <v>340</v>
      </c>
      <c r="L66" t="s">
        <v>341</v>
      </c>
      <c r="M66" t="s">
        <v>342</v>
      </c>
      <c r="N66" t="s">
        <v>335</v>
      </c>
      <c r="O66" t="s">
        <v>343</v>
      </c>
      <c r="P66" t="s">
        <v>344</v>
      </c>
      <c r="Q66" t="s">
        <v>345</v>
      </c>
      <c r="R66" t="s">
        <v>66</v>
      </c>
      <c r="S66" t="s">
        <v>346</v>
      </c>
      <c r="T66" t="s">
        <v>347</v>
      </c>
      <c r="U66" t="s">
        <v>348</v>
      </c>
      <c r="V66" t="s">
        <v>309</v>
      </c>
      <c r="W66" t="s">
        <v>327</v>
      </c>
      <c r="X66" t="s">
        <v>141</v>
      </c>
      <c r="Y66" s="2" t="s">
        <v>349</v>
      </c>
      <c r="Z66" s="2" t="s">
        <v>350</v>
      </c>
      <c r="AA66" t="s">
        <v>146</v>
      </c>
      <c r="AB66" t="s">
        <v>314</v>
      </c>
      <c r="AC66" t="s">
        <v>62</v>
      </c>
      <c r="AD66" s="2" t="s">
        <v>351</v>
      </c>
      <c r="AE66" t="s">
        <v>273</v>
      </c>
      <c r="AF66" t="s">
        <v>352</v>
      </c>
      <c r="AG66" s="2" t="s">
        <v>353</v>
      </c>
      <c r="AH66" s="2" t="s">
        <v>354</v>
      </c>
      <c r="AI66" s="2" t="s">
        <v>355</v>
      </c>
      <c r="AJ66" s="2" t="s">
        <v>356</v>
      </c>
      <c r="AK66" s="2" t="s">
        <v>357</v>
      </c>
      <c r="AL66" s="2" t="s">
        <v>358</v>
      </c>
      <c r="AM66" s="2" t="s">
        <v>359</v>
      </c>
      <c r="AN66" s="2" t="s">
        <v>360</v>
      </c>
      <c r="AO66" s="2" t="s">
        <v>361</v>
      </c>
      <c r="BD66" s="2" t="s">
        <v>112</v>
      </c>
      <c r="BE66" t="s">
        <v>362</v>
      </c>
      <c r="BF66" s="2" t="s">
        <v>114</v>
      </c>
      <c r="BG66" s="2" t="s">
        <v>206</v>
      </c>
      <c r="BH66" t="s">
        <v>71</v>
      </c>
      <c r="BI66" s="2" t="s">
        <v>363</v>
      </c>
      <c r="BJ66" s="2" t="s">
        <v>364</v>
      </c>
      <c r="BK66" s="2" t="s">
        <v>365</v>
      </c>
      <c r="BL66" s="2"/>
      <c r="BM66" t="s">
        <v>291</v>
      </c>
      <c r="BN66" s="2" t="s">
        <v>366</v>
      </c>
      <c r="BO66" s="6">
        <v>150000</v>
      </c>
      <c r="BP66" s="5" t="s">
        <v>1538</v>
      </c>
      <c r="BR66" s="8" t="s">
        <v>1585</v>
      </c>
    </row>
    <row r="67" spans="1:72" ht="42.5" customHeight="1" x14ac:dyDescent="0.35">
      <c r="A67" t="s">
        <v>1445</v>
      </c>
      <c r="B67" t="s">
        <v>1446</v>
      </c>
      <c r="C67" t="s">
        <v>1542</v>
      </c>
      <c r="AD67" t="s">
        <v>1543</v>
      </c>
      <c r="AF67" t="s">
        <v>1536</v>
      </c>
      <c r="BN67" t="s">
        <v>1532</v>
      </c>
      <c r="BO67" s="6">
        <v>100000</v>
      </c>
      <c r="BP67" t="s">
        <v>1535</v>
      </c>
      <c r="BR67" s="8" t="s">
        <v>1585</v>
      </c>
    </row>
    <row r="68" spans="1:72" ht="42.5" customHeight="1" x14ac:dyDescent="0.35">
      <c r="A68" t="s">
        <v>1445</v>
      </c>
      <c r="B68" t="s">
        <v>1478</v>
      </c>
      <c r="C68" t="s">
        <v>623</v>
      </c>
      <c r="D68" t="s">
        <v>624</v>
      </c>
      <c r="E68" t="s">
        <v>625</v>
      </c>
      <c r="F68" t="s">
        <v>445</v>
      </c>
      <c r="G68" t="s">
        <v>63</v>
      </c>
      <c r="H68" t="s">
        <v>64</v>
      </c>
      <c r="I68" t="s">
        <v>80</v>
      </c>
      <c r="J68" t="s">
        <v>626</v>
      </c>
      <c r="K68" t="s">
        <v>627</v>
      </c>
      <c r="L68" t="s">
        <v>628</v>
      </c>
      <c r="M68" t="s">
        <v>629</v>
      </c>
      <c r="N68" t="s">
        <v>622</v>
      </c>
      <c r="O68" t="s">
        <v>630</v>
      </c>
      <c r="P68" t="s">
        <v>631</v>
      </c>
      <c r="Q68" t="s">
        <v>632</v>
      </c>
      <c r="R68" t="s">
        <v>66</v>
      </c>
      <c r="S68" t="s">
        <v>633</v>
      </c>
      <c r="T68" t="s">
        <v>634</v>
      </c>
      <c r="U68" t="s">
        <v>418</v>
      </c>
      <c r="V68" t="s">
        <v>384</v>
      </c>
      <c r="W68" t="s">
        <v>142</v>
      </c>
      <c r="X68" t="s">
        <v>142</v>
      </c>
      <c r="Y68" t="s">
        <v>635</v>
      </c>
      <c r="Z68" s="2" t="s">
        <v>636</v>
      </c>
      <c r="AA68" t="s">
        <v>146</v>
      </c>
      <c r="AB68" t="s">
        <v>314</v>
      </c>
      <c r="AC68" t="s">
        <v>62</v>
      </c>
      <c r="AD68" s="2" t="s">
        <v>637</v>
      </c>
      <c r="AE68" t="s">
        <v>606</v>
      </c>
      <c r="AF68" t="s">
        <v>69</v>
      </c>
      <c r="AG68" s="2" t="s">
        <v>638</v>
      </c>
      <c r="AH68" s="2" t="s">
        <v>639</v>
      </c>
      <c r="AI68" s="2" t="s">
        <v>1519</v>
      </c>
      <c r="AJ68" s="2" t="s">
        <v>640</v>
      </c>
      <c r="AK68" s="2" t="s">
        <v>641</v>
      </c>
      <c r="AL68" s="2" t="s">
        <v>642</v>
      </c>
      <c r="AM68" t="s">
        <v>643</v>
      </c>
      <c r="AN68" s="2" t="s">
        <v>644</v>
      </c>
      <c r="AO68" s="2" t="s">
        <v>645</v>
      </c>
      <c r="BD68" s="2" t="s">
        <v>112</v>
      </c>
      <c r="BE68" t="s">
        <v>646</v>
      </c>
      <c r="BF68" s="2" t="s">
        <v>114</v>
      </c>
      <c r="BG68" s="2" t="s">
        <v>647</v>
      </c>
      <c r="BH68" t="s">
        <v>547</v>
      </c>
      <c r="BI68" s="2" t="s">
        <v>648</v>
      </c>
      <c r="BJ68" s="2" t="s">
        <v>649</v>
      </c>
      <c r="BK68" t="s">
        <v>650</v>
      </c>
      <c r="BN68" t="s">
        <v>121</v>
      </c>
      <c r="BO68" s="6">
        <v>100000</v>
      </c>
      <c r="BP68" s="8" t="s">
        <v>1535</v>
      </c>
      <c r="BR68" s="8" t="s">
        <v>1582</v>
      </c>
    </row>
    <row r="69" spans="1:72" ht="42.5" customHeight="1" x14ac:dyDescent="0.35">
      <c r="A69" t="s">
        <v>1512</v>
      </c>
      <c r="B69" t="s">
        <v>829</v>
      </c>
      <c r="C69" t="s">
        <v>251</v>
      </c>
      <c r="D69" t="s">
        <v>252</v>
      </c>
      <c r="E69" t="s">
        <v>253</v>
      </c>
      <c r="F69" t="s">
        <v>254</v>
      </c>
      <c r="G69" t="s">
        <v>63</v>
      </c>
      <c r="H69" t="s">
        <v>127</v>
      </c>
      <c r="I69" t="s">
        <v>255</v>
      </c>
      <c r="J69" t="s">
        <v>256</v>
      </c>
      <c r="K69" t="s">
        <v>257</v>
      </c>
      <c r="L69" t="s">
        <v>258</v>
      </c>
      <c r="M69" t="s">
        <v>259</v>
      </c>
      <c r="N69" t="s">
        <v>250</v>
      </c>
      <c r="O69" t="s">
        <v>260</v>
      </c>
      <c r="P69" t="s">
        <v>261</v>
      </c>
      <c r="Q69" t="s">
        <v>262</v>
      </c>
      <c r="R69" t="s">
        <v>263</v>
      </c>
      <c r="S69" t="s">
        <v>264</v>
      </c>
      <c r="T69" t="s">
        <v>265</v>
      </c>
      <c r="U69" t="s">
        <v>266</v>
      </c>
      <c r="V69" t="s">
        <v>267</v>
      </c>
      <c r="W69" t="s">
        <v>268</v>
      </c>
      <c r="X69" t="s">
        <v>269</v>
      </c>
      <c r="Y69" s="2" t="s">
        <v>270</v>
      </c>
      <c r="Z69" s="2" t="s">
        <v>271</v>
      </c>
      <c r="AA69" t="s">
        <v>190</v>
      </c>
      <c r="AB69" t="s">
        <v>191</v>
      </c>
      <c r="AC69" t="s">
        <v>272</v>
      </c>
      <c r="AD69" s="2" t="s">
        <v>1515</v>
      </c>
      <c r="AE69" t="s">
        <v>273</v>
      </c>
      <c r="AF69" t="s">
        <v>69</v>
      </c>
      <c r="AG69" s="2" t="s">
        <v>274</v>
      </c>
      <c r="AH69" s="2" t="s">
        <v>275</v>
      </c>
      <c r="AI69" s="2" t="s">
        <v>276</v>
      </c>
      <c r="AJ69" t="s">
        <v>277</v>
      </c>
      <c r="AK69" s="2" t="s">
        <v>278</v>
      </c>
      <c r="AL69" s="2" t="s">
        <v>279</v>
      </c>
      <c r="AM69" s="2" t="s">
        <v>280</v>
      </c>
      <c r="AN69" s="2" t="s">
        <v>281</v>
      </c>
      <c r="AO69" s="2" t="s">
        <v>282</v>
      </c>
      <c r="AP69" t="s">
        <v>70</v>
      </c>
      <c r="AQ69" t="s">
        <v>283</v>
      </c>
      <c r="BD69" s="2" t="s">
        <v>284</v>
      </c>
      <c r="BE69" t="s">
        <v>285</v>
      </c>
      <c r="BF69" t="s">
        <v>286</v>
      </c>
      <c r="BG69" s="2" t="s">
        <v>206</v>
      </c>
      <c r="BH69" t="s">
        <v>287</v>
      </c>
      <c r="BI69" s="2" t="s">
        <v>288</v>
      </c>
      <c r="BK69" t="s">
        <v>289</v>
      </c>
      <c r="BL69" t="s">
        <v>290</v>
      </c>
      <c r="BM69" t="s">
        <v>168</v>
      </c>
      <c r="BN69" t="s">
        <v>291</v>
      </c>
      <c r="BO69" s="6">
        <v>125000</v>
      </c>
      <c r="BP69" t="s">
        <v>1535</v>
      </c>
      <c r="BR69" s="8" t="s">
        <v>1585</v>
      </c>
    </row>
    <row r="70" spans="1:72" ht="42.5" customHeight="1" x14ac:dyDescent="0.35">
      <c r="C70" s="19" t="s">
        <v>1583</v>
      </c>
      <c r="D70" s="20"/>
      <c r="E70" s="20"/>
      <c r="F70" s="20"/>
      <c r="G70" s="20"/>
      <c r="H70" s="20"/>
      <c r="I70" s="20"/>
      <c r="J70" s="20"/>
      <c r="K70" s="20"/>
      <c r="L70" s="20"/>
      <c r="M70" s="20"/>
      <c r="N70" s="20"/>
      <c r="O70" s="20"/>
      <c r="P70" s="20"/>
      <c r="Q70" s="20"/>
      <c r="R70" s="20"/>
      <c r="S70" s="20"/>
      <c r="T70" s="20"/>
      <c r="U70" s="20"/>
      <c r="V70" s="20"/>
      <c r="W70" s="20"/>
      <c r="X70" s="20"/>
      <c r="Y70" s="21"/>
      <c r="Z70" s="21"/>
      <c r="AA70" s="20"/>
      <c r="AB70" s="20"/>
      <c r="AC70" s="20"/>
      <c r="AD70" s="21"/>
      <c r="AE70" s="20"/>
      <c r="AF70" s="19" t="s">
        <v>1547</v>
      </c>
      <c r="AG70" s="21"/>
      <c r="AH70" s="21"/>
      <c r="AI70" s="21"/>
      <c r="AJ70" s="20"/>
      <c r="AK70" s="21"/>
      <c r="AL70" s="21"/>
      <c r="AM70" s="21"/>
      <c r="AN70" s="21"/>
      <c r="AO70" s="21"/>
      <c r="AP70" s="20"/>
      <c r="AQ70" s="20"/>
      <c r="AR70" s="20"/>
      <c r="AS70" s="20"/>
      <c r="AT70" s="20"/>
      <c r="AU70" s="20"/>
      <c r="AV70" s="20"/>
      <c r="AW70" s="20"/>
      <c r="AX70" s="20"/>
      <c r="AY70" s="20"/>
      <c r="AZ70" s="20"/>
      <c r="BA70" s="20"/>
      <c r="BB70" s="20"/>
      <c r="BC70" s="20"/>
      <c r="BD70" s="21"/>
      <c r="BE70" s="20"/>
      <c r="BF70" s="20"/>
      <c r="BG70" s="21"/>
      <c r="BH70" s="20"/>
      <c r="BI70" s="21"/>
      <c r="BJ70" s="20"/>
      <c r="BK70" s="20"/>
      <c r="BL70" s="20"/>
      <c r="BM70" s="20"/>
      <c r="BN70" s="19" t="s">
        <v>1584</v>
      </c>
      <c r="BO70" s="22">
        <v>275000</v>
      </c>
      <c r="BP70" s="19" t="s">
        <v>1533</v>
      </c>
      <c r="BQ70" s="20"/>
      <c r="BR70" s="19" t="s">
        <v>1582</v>
      </c>
    </row>
    <row r="71" spans="1:72" ht="42.5" customHeight="1" x14ac:dyDescent="0.35">
      <c r="C71" t="s">
        <v>405</v>
      </c>
      <c r="D71" t="s">
        <v>406</v>
      </c>
      <c r="E71" t="s">
        <v>407</v>
      </c>
      <c r="F71" t="s">
        <v>62</v>
      </c>
      <c r="G71" t="s">
        <v>63</v>
      </c>
      <c r="H71" t="s">
        <v>64</v>
      </c>
      <c r="I71" t="s">
        <v>408</v>
      </c>
      <c r="J71" t="s">
        <v>409</v>
      </c>
      <c r="K71" t="s">
        <v>410</v>
      </c>
      <c r="L71" t="s">
        <v>411</v>
      </c>
      <c r="M71" t="s">
        <v>412</v>
      </c>
      <c r="N71" t="s">
        <v>404</v>
      </c>
      <c r="O71" t="s">
        <v>413</v>
      </c>
      <c r="P71" t="s">
        <v>414</v>
      </c>
      <c r="Q71" t="s">
        <v>415</v>
      </c>
      <c r="R71" t="s">
        <v>416</v>
      </c>
      <c r="S71" t="s">
        <v>417</v>
      </c>
      <c r="U71" t="s">
        <v>418</v>
      </c>
      <c r="V71" t="s">
        <v>419</v>
      </c>
      <c r="W71" t="s">
        <v>268</v>
      </c>
      <c r="X71" t="s">
        <v>420</v>
      </c>
      <c r="Y71" s="2" t="s">
        <v>421</v>
      </c>
      <c r="Z71" t="s">
        <v>422</v>
      </c>
      <c r="AA71" t="s">
        <v>146</v>
      </c>
      <c r="AB71" t="s">
        <v>314</v>
      </c>
      <c r="AC71" t="s">
        <v>423</v>
      </c>
      <c r="AD71" s="2" t="s">
        <v>424</v>
      </c>
      <c r="AE71" t="s">
        <v>273</v>
      </c>
      <c r="AF71" t="s">
        <v>352</v>
      </c>
      <c r="AG71" t="s">
        <v>425</v>
      </c>
      <c r="AH71" s="2" t="s">
        <v>426</v>
      </c>
      <c r="AI71" s="2" t="s">
        <v>427</v>
      </c>
      <c r="AJ71" s="2" t="s">
        <v>428</v>
      </c>
      <c r="AK71" s="2" t="s">
        <v>429</v>
      </c>
      <c r="AL71" s="2" t="s">
        <v>430</v>
      </c>
      <c r="AM71" s="2" t="s">
        <v>431</v>
      </c>
      <c r="AN71" s="2" t="s">
        <v>432</v>
      </c>
      <c r="AO71" s="2" t="s">
        <v>433</v>
      </c>
      <c r="AP71" t="s">
        <v>70</v>
      </c>
      <c r="AQ71" t="s">
        <v>73</v>
      </c>
      <c r="BD71" s="2" t="s">
        <v>284</v>
      </c>
      <c r="BE71" t="s">
        <v>434</v>
      </c>
      <c r="BF71" t="s">
        <v>205</v>
      </c>
      <c r="BG71" s="2" t="s">
        <v>206</v>
      </c>
      <c r="BH71" t="s">
        <v>435</v>
      </c>
      <c r="BI71" s="2" t="s">
        <v>436</v>
      </c>
      <c r="BJ71" s="2" t="s">
        <v>437</v>
      </c>
      <c r="BK71" s="2" t="s">
        <v>438</v>
      </c>
      <c r="BM71" t="s">
        <v>439</v>
      </c>
      <c r="BN71" t="s">
        <v>439</v>
      </c>
      <c r="BO71" s="6">
        <v>150000</v>
      </c>
      <c r="BP71" s="8" t="s">
        <v>1535</v>
      </c>
      <c r="BR71" s="8" t="s">
        <v>1582</v>
      </c>
    </row>
    <row r="72" spans="1:72" ht="42.5" customHeight="1" x14ac:dyDescent="0.35">
      <c r="C72" t="s">
        <v>791</v>
      </c>
      <c r="D72" t="s">
        <v>792</v>
      </c>
      <c r="E72" t="s">
        <v>793</v>
      </c>
      <c r="F72" t="s">
        <v>62</v>
      </c>
      <c r="G72" t="s">
        <v>63</v>
      </c>
      <c r="H72" t="s">
        <v>127</v>
      </c>
      <c r="I72" t="s">
        <v>655</v>
      </c>
      <c r="J72" t="s">
        <v>794</v>
      </c>
      <c r="K72" t="s">
        <v>795</v>
      </c>
      <c r="L72" t="s">
        <v>796</v>
      </c>
      <c r="M72" t="s">
        <v>797</v>
      </c>
      <c r="N72" t="s">
        <v>790</v>
      </c>
      <c r="O72" t="s">
        <v>798</v>
      </c>
      <c r="P72" t="s">
        <v>799</v>
      </c>
      <c r="Q72" t="s">
        <v>800</v>
      </c>
      <c r="R72" t="s">
        <v>416</v>
      </c>
      <c r="S72" t="s">
        <v>801</v>
      </c>
      <c r="T72" t="s">
        <v>802</v>
      </c>
      <c r="U72" t="s">
        <v>803</v>
      </c>
      <c r="V72" t="s">
        <v>804</v>
      </c>
      <c r="W72" t="s">
        <v>805</v>
      </c>
      <c r="X72" t="s">
        <v>142</v>
      </c>
      <c r="Y72" t="s">
        <v>806</v>
      </c>
      <c r="Z72" s="2" t="s">
        <v>807</v>
      </c>
      <c r="AA72" t="s">
        <v>498</v>
      </c>
      <c r="AB72" t="s">
        <v>499</v>
      </c>
      <c r="AC72" t="s">
        <v>808</v>
      </c>
      <c r="AD72" t="s">
        <v>809</v>
      </c>
      <c r="AE72" t="s">
        <v>810</v>
      </c>
      <c r="AF72" s="11" t="s">
        <v>69</v>
      </c>
      <c r="AG72" t="s">
        <v>811</v>
      </c>
      <c r="AH72" s="2" t="s">
        <v>812</v>
      </c>
      <c r="AI72" t="s">
        <v>813</v>
      </c>
      <c r="AJ72" s="2" t="s">
        <v>814</v>
      </c>
      <c r="AK72" t="s">
        <v>815</v>
      </c>
      <c r="AL72" s="2" t="s">
        <v>816</v>
      </c>
      <c r="AM72" s="2" t="s">
        <v>817</v>
      </c>
      <c r="AN72" s="2" t="s">
        <v>818</v>
      </c>
      <c r="AO72" s="2" t="s">
        <v>819</v>
      </c>
      <c r="AP72" t="s">
        <v>70</v>
      </c>
      <c r="AQ72" t="s">
        <v>820</v>
      </c>
      <c r="AR72" t="s">
        <v>70</v>
      </c>
      <c r="AS72" t="s">
        <v>821</v>
      </c>
      <c r="AZ72" t="s">
        <v>70</v>
      </c>
      <c r="BA72" t="s">
        <v>822</v>
      </c>
      <c r="BD72" s="2" t="s">
        <v>284</v>
      </c>
      <c r="BE72" t="s">
        <v>823</v>
      </c>
      <c r="BF72" s="2" t="s">
        <v>824</v>
      </c>
      <c r="BG72" s="2" t="s">
        <v>206</v>
      </c>
      <c r="BH72" t="s">
        <v>73</v>
      </c>
      <c r="BI72" s="2" t="s">
        <v>825</v>
      </c>
      <c r="BJ72" s="2" t="s">
        <v>826</v>
      </c>
      <c r="BK72" t="s">
        <v>827</v>
      </c>
      <c r="BL72" s="11"/>
      <c r="BN72" t="s">
        <v>828</v>
      </c>
      <c r="BO72" s="6">
        <v>200000</v>
      </c>
      <c r="BP72" s="8" t="s">
        <v>1533</v>
      </c>
      <c r="BR72" s="8" t="s">
        <v>1580</v>
      </c>
    </row>
    <row r="73" spans="1:72" ht="42.5" customHeight="1" x14ac:dyDescent="0.35">
      <c r="C73" s="20" t="s">
        <v>520</v>
      </c>
      <c r="D73" s="20" t="s">
        <v>521</v>
      </c>
      <c r="E73" s="20" t="s">
        <v>522</v>
      </c>
      <c r="F73" s="20" t="s">
        <v>523</v>
      </c>
      <c r="G73" s="20" t="s">
        <v>63</v>
      </c>
      <c r="H73" s="20" t="s">
        <v>64</v>
      </c>
      <c r="I73" s="20" t="s">
        <v>524</v>
      </c>
      <c r="J73" s="20" t="s">
        <v>525</v>
      </c>
      <c r="K73" s="20" t="s">
        <v>526</v>
      </c>
      <c r="L73" s="20" t="s">
        <v>527</v>
      </c>
      <c r="M73" s="20" t="s">
        <v>66</v>
      </c>
      <c r="N73" s="20" t="s">
        <v>519</v>
      </c>
      <c r="O73" s="20" t="s">
        <v>528</v>
      </c>
      <c r="P73" s="20" t="s">
        <v>488</v>
      </c>
      <c r="Q73" s="20" t="s">
        <v>529</v>
      </c>
      <c r="R73" s="20" t="s">
        <v>530</v>
      </c>
      <c r="S73" s="20" t="s">
        <v>531</v>
      </c>
      <c r="T73" s="20"/>
      <c r="U73" s="20" t="s">
        <v>532</v>
      </c>
      <c r="V73" s="20" t="s">
        <v>533</v>
      </c>
      <c r="W73" s="20" t="s">
        <v>268</v>
      </c>
      <c r="X73" s="20" t="s">
        <v>310</v>
      </c>
      <c r="Y73" s="21" t="s">
        <v>534</v>
      </c>
      <c r="Z73" s="21" t="s">
        <v>535</v>
      </c>
      <c r="AA73" s="20" t="s">
        <v>190</v>
      </c>
      <c r="AB73" s="20" t="s">
        <v>191</v>
      </c>
      <c r="AC73" s="20" t="s">
        <v>62</v>
      </c>
      <c r="AD73" s="21" t="s">
        <v>536</v>
      </c>
      <c r="AE73" s="20" t="s">
        <v>461</v>
      </c>
      <c r="AF73" s="20" t="s">
        <v>537</v>
      </c>
      <c r="AG73" s="21" t="s">
        <v>538</v>
      </c>
      <c r="AH73" s="21" t="s">
        <v>539</v>
      </c>
      <c r="AI73" s="21" t="s">
        <v>540</v>
      </c>
      <c r="AJ73" s="20" t="s">
        <v>541</v>
      </c>
      <c r="AK73" s="21" t="s">
        <v>542</v>
      </c>
      <c r="AL73" s="21" t="s">
        <v>543</v>
      </c>
      <c r="AM73" s="21" t="s">
        <v>544</v>
      </c>
      <c r="AN73" s="21" t="s">
        <v>545</v>
      </c>
      <c r="AO73" s="21" t="s">
        <v>546</v>
      </c>
      <c r="AP73" s="20" t="s">
        <v>70</v>
      </c>
      <c r="AQ73" s="20" t="s">
        <v>547</v>
      </c>
      <c r="AR73" s="20" t="s">
        <v>70</v>
      </c>
      <c r="AS73" s="20" t="s">
        <v>203</v>
      </c>
      <c r="AT73" s="20"/>
      <c r="AU73" s="20"/>
      <c r="AV73" s="20" t="s">
        <v>70</v>
      </c>
      <c r="AW73" s="20" t="s">
        <v>203</v>
      </c>
      <c r="AX73" s="20" t="s">
        <v>70</v>
      </c>
      <c r="AY73" s="20" t="s">
        <v>203</v>
      </c>
      <c r="AZ73" s="20"/>
      <c r="BA73" s="20"/>
      <c r="BB73" s="20"/>
      <c r="BC73" s="20"/>
      <c r="BD73" s="21" t="s">
        <v>72</v>
      </c>
      <c r="BE73" s="20" t="s">
        <v>548</v>
      </c>
      <c r="BF73" s="21" t="s">
        <v>114</v>
      </c>
      <c r="BG73" s="21" t="s">
        <v>206</v>
      </c>
      <c r="BH73" s="20" t="s">
        <v>73</v>
      </c>
      <c r="BI73" s="21" t="s">
        <v>549</v>
      </c>
      <c r="BJ73" s="20"/>
      <c r="BK73" s="20" t="s">
        <v>550</v>
      </c>
      <c r="BL73" s="20"/>
      <c r="BM73" s="20" t="s">
        <v>1517</v>
      </c>
      <c r="BN73" s="20" t="s">
        <v>1517</v>
      </c>
      <c r="BO73" s="22">
        <v>200000</v>
      </c>
      <c r="BP73" s="19" t="s">
        <v>537</v>
      </c>
      <c r="BQ73" s="20" t="s">
        <v>1541</v>
      </c>
      <c r="BR73" s="19" t="s">
        <v>1582</v>
      </c>
    </row>
    <row r="74" spans="1:72" ht="42.5" customHeight="1" x14ac:dyDescent="0.35">
      <c r="C74" t="s">
        <v>973</v>
      </c>
      <c r="D74" t="s">
        <v>974</v>
      </c>
      <c r="E74" t="s">
        <v>975</v>
      </c>
      <c r="F74" t="s">
        <v>976</v>
      </c>
      <c r="G74" t="s">
        <v>63</v>
      </c>
      <c r="H74" t="s">
        <v>127</v>
      </c>
      <c r="I74" t="s">
        <v>977</v>
      </c>
      <c r="J74" t="s">
        <v>978</v>
      </c>
      <c r="K74" t="s">
        <v>979</v>
      </c>
      <c r="L74" t="s">
        <v>980</v>
      </c>
      <c r="M74" t="s">
        <v>981</v>
      </c>
      <c r="N74" t="s">
        <v>972</v>
      </c>
      <c r="O74" t="s">
        <v>982</v>
      </c>
      <c r="P74" t="s">
        <v>983</v>
      </c>
      <c r="Q74" t="s">
        <v>984</v>
      </c>
      <c r="R74" t="s">
        <v>985</v>
      </c>
      <c r="S74" t="s">
        <v>986</v>
      </c>
      <c r="T74" t="s">
        <v>987</v>
      </c>
      <c r="U74" t="s">
        <v>988</v>
      </c>
      <c r="V74" t="s">
        <v>951</v>
      </c>
      <c r="W74" t="s">
        <v>951</v>
      </c>
      <c r="X74" t="s">
        <v>141</v>
      </c>
      <c r="Y74" t="s">
        <v>989</v>
      </c>
      <c r="Z74" t="s">
        <v>990</v>
      </c>
      <c r="AA74" t="s">
        <v>190</v>
      </c>
      <c r="AB74" t="s">
        <v>191</v>
      </c>
      <c r="AC74" t="s">
        <v>976</v>
      </c>
      <c r="AD74" s="2" t="s">
        <v>991</v>
      </c>
      <c r="AE74" t="s">
        <v>149</v>
      </c>
      <c r="AF74" t="s">
        <v>352</v>
      </c>
      <c r="AG74" s="2" t="s">
        <v>992</v>
      </c>
      <c r="AH74" t="s">
        <v>993</v>
      </c>
      <c r="AI74" s="2" t="s">
        <v>1521</v>
      </c>
      <c r="AJ74" s="2" t="s">
        <v>994</v>
      </c>
      <c r="AK74" s="2" t="s">
        <v>995</v>
      </c>
      <c r="AL74" s="2" t="s">
        <v>996</v>
      </c>
      <c r="AM74" s="2" t="s">
        <v>997</v>
      </c>
      <c r="AN74" s="2" t="s">
        <v>998</v>
      </c>
      <c r="AO74" s="2" t="s">
        <v>999</v>
      </c>
      <c r="AP74" t="s">
        <v>70</v>
      </c>
      <c r="AQ74" t="s">
        <v>71</v>
      </c>
      <c r="BD74" s="2" t="s">
        <v>328</v>
      </c>
      <c r="BE74" t="s">
        <v>1000</v>
      </c>
      <c r="BF74" t="s">
        <v>286</v>
      </c>
      <c r="BG74" s="2" t="s">
        <v>206</v>
      </c>
      <c r="BH74" t="s">
        <v>207</v>
      </c>
      <c r="BI74" s="2" t="s">
        <v>1001</v>
      </c>
      <c r="BJ74" s="2" t="s">
        <v>1002</v>
      </c>
      <c r="BN74" t="s">
        <v>1003</v>
      </c>
      <c r="BO74" s="6">
        <v>75000</v>
      </c>
      <c r="BP74" s="8" t="s">
        <v>1535</v>
      </c>
      <c r="BQ74" t="s">
        <v>1541</v>
      </c>
      <c r="BR74" s="8" t="s">
        <v>1580</v>
      </c>
    </row>
    <row r="75" spans="1:72" s="15" customFormat="1" ht="42.5" customHeight="1" x14ac:dyDescent="0.35">
      <c r="C75" s="20" t="s">
        <v>552</v>
      </c>
      <c r="D75" s="20" t="s">
        <v>553</v>
      </c>
      <c r="E75" s="20" t="s">
        <v>554</v>
      </c>
      <c r="F75" s="20" t="s">
        <v>555</v>
      </c>
      <c r="G75" s="20" t="s">
        <v>63</v>
      </c>
      <c r="H75" s="20" t="s">
        <v>64</v>
      </c>
      <c r="I75" s="20" t="s">
        <v>524</v>
      </c>
      <c r="J75" s="20" t="s">
        <v>556</v>
      </c>
      <c r="K75" s="20" t="s">
        <v>557</v>
      </c>
      <c r="L75" s="20" t="s">
        <v>558</v>
      </c>
      <c r="M75" s="20" t="s">
        <v>259</v>
      </c>
      <c r="N75" s="20" t="s">
        <v>559</v>
      </c>
      <c r="O75" s="20" t="s">
        <v>560</v>
      </c>
      <c r="P75" s="20" t="s">
        <v>561</v>
      </c>
      <c r="Q75" s="20" t="s">
        <v>562</v>
      </c>
      <c r="R75" s="20" t="s">
        <v>563</v>
      </c>
      <c r="S75" s="20" t="s">
        <v>551</v>
      </c>
      <c r="T75" s="20" t="s">
        <v>564</v>
      </c>
      <c r="U75" s="20" t="s">
        <v>565</v>
      </c>
      <c r="V75" s="20" t="s">
        <v>566</v>
      </c>
      <c r="W75" s="20" t="s">
        <v>567</v>
      </c>
      <c r="X75" s="20" t="s">
        <v>568</v>
      </c>
      <c r="Y75" s="21" t="s">
        <v>569</v>
      </c>
      <c r="Z75" s="21" t="s">
        <v>570</v>
      </c>
      <c r="AA75" s="20" t="s">
        <v>190</v>
      </c>
      <c r="AB75" s="20" t="s">
        <v>191</v>
      </c>
      <c r="AC75" s="20" t="s">
        <v>231</v>
      </c>
      <c r="AD75" s="21" t="s">
        <v>571</v>
      </c>
      <c r="AE75" s="20" t="s">
        <v>194</v>
      </c>
      <c r="AF75" s="20" t="s">
        <v>352</v>
      </c>
      <c r="AG75" s="21" t="s">
        <v>572</v>
      </c>
      <c r="AH75" s="21" t="s">
        <v>573</v>
      </c>
      <c r="AI75" s="21" t="s">
        <v>574</v>
      </c>
      <c r="AJ75" s="21" t="s">
        <v>575</v>
      </c>
      <c r="AK75" s="21" t="s">
        <v>576</v>
      </c>
      <c r="AL75" s="21" t="s">
        <v>577</v>
      </c>
      <c r="AM75" s="21" t="s">
        <v>578</v>
      </c>
      <c r="AN75" s="21" t="s">
        <v>579</v>
      </c>
      <c r="AO75" s="21" t="s">
        <v>580</v>
      </c>
      <c r="AP75" s="20" t="s">
        <v>70</v>
      </c>
      <c r="AQ75" s="20"/>
      <c r="AR75" s="20" t="s">
        <v>70</v>
      </c>
      <c r="AS75" s="20"/>
      <c r="AT75" s="20"/>
      <c r="AU75" s="20"/>
      <c r="AV75" s="20" t="s">
        <v>70</v>
      </c>
      <c r="AW75" s="20"/>
      <c r="AX75" s="20" t="s">
        <v>70</v>
      </c>
      <c r="AY75" s="20"/>
      <c r="AZ75" s="20"/>
      <c r="BA75" s="20"/>
      <c r="BB75" s="20"/>
      <c r="BC75" s="20"/>
      <c r="BD75" s="21" t="s">
        <v>328</v>
      </c>
      <c r="BE75" s="20" t="s">
        <v>581</v>
      </c>
      <c r="BF75" s="21" t="s">
        <v>244</v>
      </c>
      <c r="BG75" s="21" t="s">
        <v>206</v>
      </c>
      <c r="BH75" s="20" t="s">
        <v>582</v>
      </c>
      <c r="BI75" s="21" t="s">
        <v>583</v>
      </c>
      <c r="BJ75" s="20" t="s">
        <v>584</v>
      </c>
      <c r="BK75" s="20" t="s">
        <v>585</v>
      </c>
      <c r="BL75" s="20"/>
      <c r="BM75" s="20" t="s">
        <v>168</v>
      </c>
      <c r="BN75" s="20" t="s">
        <v>1517</v>
      </c>
      <c r="BO75" s="22">
        <v>200000</v>
      </c>
      <c r="BP75" s="19" t="s">
        <v>1535</v>
      </c>
      <c r="BQ75" s="20"/>
      <c r="BR75" s="19" t="s">
        <v>1582</v>
      </c>
    </row>
    <row r="76" spans="1:72" ht="42.5" customHeight="1" x14ac:dyDescent="0.35">
      <c r="C76" s="8" t="s">
        <v>1561</v>
      </c>
      <c r="AD76" s="11" t="s">
        <v>1562</v>
      </c>
      <c r="AF76" s="8" t="s">
        <v>537</v>
      </c>
      <c r="BN76" s="8" t="s">
        <v>1563</v>
      </c>
      <c r="BO76" s="6">
        <v>30000</v>
      </c>
      <c r="BP76" s="8" t="s">
        <v>537</v>
      </c>
      <c r="BR76" s="18" t="s">
        <v>1582</v>
      </c>
    </row>
    <row r="77" spans="1:72" ht="42.5" customHeight="1" x14ac:dyDescent="0.35">
      <c r="A77" s="20"/>
      <c r="B77" s="20"/>
      <c r="C77" s="19" t="s">
        <v>1567</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19" t="s">
        <v>69</v>
      </c>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19" t="s">
        <v>1568</v>
      </c>
      <c r="BO77" s="22">
        <v>50000</v>
      </c>
      <c r="BP77" s="19" t="s">
        <v>1581</v>
      </c>
      <c r="BQ77" s="20"/>
      <c r="BR77" s="19" t="s">
        <v>1580</v>
      </c>
    </row>
    <row r="78" spans="1:72" ht="42.5" customHeight="1" x14ac:dyDescent="0.35">
      <c r="C78" s="8" t="s">
        <v>1554</v>
      </c>
      <c r="AF78" s="8" t="s">
        <v>69</v>
      </c>
      <c r="BN78" s="8" t="s">
        <v>1568</v>
      </c>
      <c r="BO78" s="6">
        <v>50000</v>
      </c>
      <c r="BP78" s="8" t="s">
        <v>1581</v>
      </c>
      <c r="BR78" s="8" t="s">
        <v>1580</v>
      </c>
      <c r="BT78" s="24">
        <f>SUM(BO78,BO77,BO74,BO72,BO63,BO53,BO44,BO36,BO31,BO30,BO28,BO23,BO13,BO7,BO3)</f>
        <v>1825000</v>
      </c>
    </row>
    <row r="79" spans="1:72" ht="42.5" customHeight="1" x14ac:dyDescent="0.35">
      <c r="C79" s="8" t="s">
        <v>1574</v>
      </c>
      <c r="AF79" s="8" t="s">
        <v>69</v>
      </c>
      <c r="BN79" s="8" t="s">
        <v>1517</v>
      </c>
      <c r="BO79" s="6">
        <v>50000</v>
      </c>
      <c r="BP79" s="8" t="s">
        <v>537</v>
      </c>
      <c r="BR79" s="8" t="s">
        <v>1595</v>
      </c>
    </row>
    <row r="80" spans="1:72" ht="42.5" customHeight="1" x14ac:dyDescent="0.35">
      <c r="C80" s="8" t="s">
        <v>61</v>
      </c>
      <c r="AF80" s="8" t="s">
        <v>69</v>
      </c>
      <c r="BN80" s="8" t="s">
        <v>1599</v>
      </c>
      <c r="BO80" s="6">
        <v>25000</v>
      </c>
      <c r="BP80" s="8" t="s">
        <v>1535</v>
      </c>
      <c r="BR80" s="8" t="s">
        <v>1595</v>
      </c>
    </row>
    <row r="81" spans="1:72" ht="42.5" customHeight="1" x14ac:dyDescent="0.35">
      <c r="BO81" s="6">
        <f>SUM(BO2:BO80)</f>
        <v>17085999</v>
      </c>
    </row>
    <row r="82" spans="1:72" s="15" customFormat="1" ht="42.5" customHeight="1" x14ac:dyDescent="0.35">
      <c r="A82"/>
      <c r="B82"/>
      <c r="D82"/>
      <c r="E82"/>
      <c r="F82"/>
      <c r="G82"/>
      <c r="H82"/>
      <c r="I82"/>
      <c r="J82"/>
      <c r="K82"/>
      <c r="L82"/>
      <c r="M82"/>
      <c r="N82"/>
      <c r="O82"/>
      <c r="P82"/>
      <c r="Q82"/>
      <c r="R82"/>
      <c r="S82"/>
      <c r="T82"/>
      <c r="U82"/>
      <c r="V82"/>
      <c r="W82"/>
      <c r="X82"/>
      <c r="Y82"/>
      <c r="Z82"/>
      <c r="AA82"/>
      <c r="AB82"/>
      <c r="AC82"/>
      <c r="AE82"/>
      <c r="AG82"/>
      <c r="AH82"/>
      <c r="AI82"/>
      <c r="AJ82"/>
      <c r="AK82"/>
      <c r="AL82"/>
      <c r="AM82"/>
      <c r="AN82"/>
      <c r="AO82"/>
      <c r="AP82"/>
      <c r="AQ82"/>
      <c r="AR82"/>
      <c r="AS82"/>
      <c r="AT82"/>
      <c r="AU82"/>
      <c r="AV82"/>
      <c r="AW82"/>
      <c r="AX82"/>
      <c r="AY82"/>
      <c r="AZ82"/>
      <c r="BA82"/>
      <c r="BB82"/>
      <c r="BC82"/>
      <c r="BD82"/>
      <c r="BE82"/>
      <c r="BF82"/>
      <c r="BG82"/>
      <c r="BH82"/>
      <c r="BI82"/>
      <c r="BJ82"/>
      <c r="BK82"/>
      <c r="BM82"/>
      <c r="BO82" s="17"/>
      <c r="BS82" s="32">
        <f>SUM(BO61,BO59,BO57,BO56,BO54,BO48,BO46,BO41,BO39,BO34,BO26,BO21,BO19,BO17,BO10,BO8)</f>
        <v>4240500</v>
      </c>
      <c r="BT82" s="32">
        <f>SUM(BO61,BO59,BO57,BO56,BO54,BO48,BO46,BO42,BO41,BO39,BO34,BO26,BO21,BO19,BO17,BO10,BO8)</f>
        <v>4540500</v>
      </c>
    </row>
  </sheetData>
  <autoFilter ref="C1:BR82" xr:uid="{00000000-0001-0000-0000-000000000000}"/>
  <sortState xmlns:xlrd2="http://schemas.microsoft.com/office/spreadsheetml/2017/richdata2" ref="C2:BP75">
    <sortCondition ref="C2:C7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FADE-2A54-4D0D-8174-5E09B2BEE041}">
  <dimension ref="A2:BP31"/>
  <sheetViews>
    <sheetView workbookViewId="0">
      <selection activeCell="D27" sqref="D27:E32"/>
    </sheetView>
  </sheetViews>
  <sheetFormatPr defaultRowHeight="15.5" x14ac:dyDescent="0.35"/>
  <cols>
    <col min="1" max="1" width="26.58203125" bestFit="1" customWidth="1"/>
    <col min="2" max="2" width="17.6640625" bestFit="1" customWidth="1"/>
    <col min="3" max="3" width="20.33203125" bestFit="1" customWidth="1"/>
    <col min="4" max="4" width="14.75" bestFit="1" customWidth="1"/>
    <col min="5" max="5" width="20.33203125" bestFit="1" customWidth="1"/>
    <col min="9" max="9" width="13.75" bestFit="1" customWidth="1"/>
    <col min="10" max="10" width="12.08203125" bestFit="1" customWidth="1"/>
    <col min="11" max="11" width="13.75" bestFit="1" customWidth="1"/>
  </cols>
  <sheetData>
    <row r="2" spans="1:68" ht="13" customHeight="1" x14ac:dyDescent="0.35">
      <c r="A2" s="8" t="s">
        <v>1174</v>
      </c>
      <c r="B2" t="s">
        <v>102</v>
      </c>
      <c r="C2" t="s">
        <v>1535</v>
      </c>
      <c r="D2" s="6">
        <v>250000</v>
      </c>
      <c r="E2" t="s">
        <v>1594</v>
      </c>
      <c r="F2" s="8" t="s">
        <v>1586</v>
      </c>
      <c r="BM2" s="6"/>
    </row>
    <row r="3" spans="1:68" x14ac:dyDescent="0.35">
      <c r="A3" s="8" t="s">
        <v>1587</v>
      </c>
      <c r="B3" t="s">
        <v>1593</v>
      </c>
      <c r="C3" t="s">
        <v>1535</v>
      </c>
      <c r="D3" s="6">
        <v>35000</v>
      </c>
      <c r="E3" t="s">
        <v>1594</v>
      </c>
      <c r="F3" s="8" t="s">
        <v>1586</v>
      </c>
      <c r="BM3" s="6"/>
    </row>
    <row r="4" spans="1:68" x14ac:dyDescent="0.35">
      <c r="A4" s="8" t="s">
        <v>1600</v>
      </c>
      <c r="B4" t="s">
        <v>69</v>
      </c>
      <c r="C4" t="s">
        <v>1535</v>
      </c>
      <c r="D4" s="6">
        <v>25000</v>
      </c>
      <c r="E4" t="s">
        <v>1594</v>
      </c>
      <c r="F4" s="8" t="s">
        <v>1586</v>
      </c>
      <c r="BM4" s="6"/>
    </row>
    <row r="5" spans="1:68" x14ac:dyDescent="0.35">
      <c r="A5" s="8" t="s">
        <v>61</v>
      </c>
      <c r="B5" t="s">
        <v>69</v>
      </c>
      <c r="C5" t="s">
        <v>1535</v>
      </c>
      <c r="D5" s="6">
        <v>25000</v>
      </c>
      <c r="E5" t="s">
        <v>1594</v>
      </c>
      <c r="F5" s="8" t="s">
        <v>1586</v>
      </c>
      <c r="BM5" s="6"/>
    </row>
    <row r="6" spans="1:68" x14ac:dyDescent="0.35">
      <c r="A6" t="s">
        <v>1588</v>
      </c>
      <c r="B6" t="s">
        <v>69</v>
      </c>
      <c r="C6" t="s">
        <v>1535</v>
      </c>
      <c r="D6" s="6">
        <v>10000</v>
      </c>
      <c r="E6" t="s">
        <v>1594</v>
      </c>
      <c r="F6" s="8" t="s">
        <v>1586</v>
      </c>
    </row>
    <row r="7" spans="1:68" x14ac:dyDescent="0.35">
      <c r="A7" t="s">
        <v>1589</v>
      </c>
      <c r="B7" t="s">
        <v>69</v>
      </c>
      <c r="C7" s="8" t="s">
        <v>1535</v>
      </c>
      <c r="D7" s="6">
        <v>15000</v>
      </c>
      <c r="E7" t="s">
        <v>1594</v>
      </c>
      <c r="F7" s="8" t="s">
        <v>1586</v>
      </c>
      <c r="Y7" s="2"/>
      <c r="Z7" s="2"/>
      <c r="AD7" s="3"/>
      <c r="AF7" s="8" t="s">
        <v>69</v>
      </c>
      <c r="AG7" s="2"/>
      <c r="AH7" s="2"/>
      <c r="AI7" s="2"/>
      <c r="AJ7" s="2"/>
      <c r="AK7" s="2"/>
      <c r="AL7" s="2"/>
      <c r="AM7" s="2"/>
      <c r="AN7" s="2"/>
      <c r="BD7" s="2"/>
      <c r="BG7" s="2"/>
      <c r="BI7" s="2"/>
      <c r="BJ7" s="2"/>
      <c r="BN7" s="8" t="s">
        <v>1570</v>
      </c>
      <c r="BO7" s="6">
        <v>750000</v>
      </c>
      <c r="BP7" s="8"/>
    </row>
    <row r="8" spans="1:68" x14ac:dyDescent="0.35">
      <c r="A8" t="s">
        <v>1590</v>
      </c>
      <c r="B8" t="s">
        <v>1546</v>
      </c>
      <c r="C8" t="s">
        <v>1535</v>
      </c>
      <c r="D8" s="6">
        <v>100000</v>
      </c>
      <c r="E8" t="s">
        <v>1594</v>
      </c>
      <c r="F8" s="8" t="s">
        <v>1586</v>
      </c>
    </row>
    <row r="9" spans="1:68" x14ac:dyDescent="0.35">
      <c r="A9" t="s">
        <v>1591</v>
      </c>
      <c r="B9" t="s">
        <v>69</v>
      </c>
      <c r="C9" t="s">
        <v>1535</v>
      </c>
      <c r="D9" s="6">
        <v>10000</v>
      </c>
      <c r="E9" t="s">
        <v>1594</v>
      </c>
      <c r="F9" s="8" t="s">
        <v>1586</v>
      </c>
    </row>
    <row r="10" spans="1:68" x14ac:dyDescent="0.35">
      <c r="A10" t="s">
        <v>1592</v>
      </c>
      <c r="B10" s="8" t="s">
        <v>69</v>
      </c>
      <c r="C10" t="s">
        <v>1535</v>
      </c>
      <c r="D10" s="6">
        <v>15000</v>
      </c>
      <c r="E10" t="s">
        <v>1594</v>
      </c>
      <c r="F10" s="8" t="s">
        <v>1586</v>
      </c>
    </row>
    <row r="11" spans="1:68" x14ac:dyDescent="0.35">
      <c r="A11" s="8" t="s">
        <v>1174</v>
      </c>
      <c r="B11" s="8" t="s">
        <v>1593</v>
      </c>
      <c r="C11" t="s">
        <v>1535</v>
      </c>
      <c r="D11" s="6">
        <v>250000</v>
      </c>
      <c r="E11" t="s">
        <v>1594</v>
      </c>
      <c r="F11" s="8" t="s">
        <v>1595</v>
      </c>
      <c r="I11" s="32"/>
      <c r="J11" s="24"/>
      <c r="K11" s="24"/>
    </row>
    <row r="12" spans="1:68" x14ac:dyDescent="0.35">
      <c r="A12" s="8" t="s">
        <v>1590</v>
      </c>
      <c r="B12" s="8" t="s">
        <v>1546</v>
      </c>
      <c r="C12" t="s">
        <v>1535</v>
      </c>
      <c r="D12" s="6">
        <v>100000</v>
      </c>
      <c r="E12" t="s">
        <v>1594</v>
      </c>
      <c r="F12" s="8" t="s">
        <v>1595</v>
      </c>
    </row>
    <row r="13" spans="1:68" x14ac:dyDescent="0.35">
      <c r="A13" s="8" t="s">
        <v>1596</v>
      </c>
      <c r="B13" s="8" t="s">
        <v>69</v>
      </c>
      <c r="C13" s="8" t="s">
        <v>1598</v>
      </c>
      <c r="D13" s="6">
        <v>50000</v>
      </c>
      <c r="E13" s="8" t="s">
        <v>1597</v>
      </c>
      <c r="F13" s="8" t="s">
        <v>1595</v>
      </c>
    </row>
    <row r="14" spans="1:68" x14ac:dyDescent="0.35">
      <c r="A14" s="8" t="s">
        <v>1587</v>
      </c>
      <c r="B14" t="s">
        <v>1593</v>
      </c>
      <c r="C14" t="s">
        <v>1535</v>
      </c>
      <c r="D14" s="6">
        <v>35000</v>
      </c>
      <c r="E14" t="s">
        <v>1594</v>
      </c>
      <c r="F14" s="8" t="s">
        <v>1595</v>
      </c>
    </row>
    <row r="15" spans="1:68" x14ac:dyDescent="0.35">
      <c r="A15" s="8" t="s">
        <v>1600</v>
      </c>
      <c r="B15" s="8" t="s">
        <v>69</v>
      </c>
      <c r="C15" s="8" t="s">
        <v>1535</v>
      </c>
      <c r="D15" s="6">
        <v>15000</v>
      </c>
      <c r="E15" t="s">
        <v>1594</v>
      </c>
      <c r="F15" s="8" t="s">
        <v>1595</v>
      </c>
    </row>
    <row r="16" spans="1:68" x14ac:dyDescent="0.35">
      <c r="A16" s="25" t="s">
        <v>1601</v>
      </c>
      <c r="B16" s="8" t="s">
        <v>69</v>
      </c>
      <c r="C16" s="8" t="s">
        <v>1535</v>
      </c>
      <c r="D16" s="6">
        <v>10000</v>
      </c>
      <c r="E16" t="s">
        <v>1594</v>
      </c>
      <c r="F16" s="8" t="s">
        <v>1595</v>
      </c>
    </row>
    <row r="17" spans="1:11" x14ac:dyDescent="0.35">
      <c r="A17" s="26" t="s">
        <v>1602</v>
      </c>
      <c r="B17" s="8" t="s">
        <v>69</v>
      </c>
      <c r="C17" s="8" t="s">
        <v>1535</v>
      </c>
      <c r="D17" s="6">
        <v>10000</v>
      </c>
      <c r="E17" t="s">
        <v>1594</v>
      </c>
      <c r="F17" s="8" t="s">
        <v>1595</v>
      </c>
    </row>
    <row r="18" spans="1:11" x14ac:dyDescent="0.35">
      <c r="A18" s="25" t="s">
        <v>1588</v>
      </c>
      <c r="B18" s="8" t="s">
        <v>69</v>
      </c>
      <c r="C18" s="8" t="s">
        <v>1535</v>
      </c>
      <c r="D18" s="6">
        <v>10000</v>
      </c>
      <c r="E18" t="s">
        <v>1594</v>
      </c>
      <c r="F18" s="8" t="s">
        <v>1595</v>
      </c>
    </row>
    <row r="19" spans="1:11" x14ac:dyDescent="0.35">
      <c r="A19" s="26" t="s">
        <v>1591</v>
      </c>
      <c r="B19" s="8" t="s">
        <v>69</v>
      </c>
      <c r="C19" s="8" t="s">
        <v>1535</v>
      </c>
      <c r="D19" s="6">
        <v>10000</v>
      </c>
      <c r="E19" t="s">
        <v>1594</v>
      </c>
      <c r="F19" s="8" t="s">
        <v>1595</v>
      </c>
    </row>
    <row r="20" spans="1:11" x14ac:dyDescent="0.35">
      <c r="A20" s="27" t="s">
        <v>1603</v>
      </c>
      <c r="B20" s="8" t="s">
        <v>69</v>
      </c>
      <c r="C20" s="8" t="s">
        <v>1535</v>
      </c>
      <c r="D20" s="6">
        <v>5300</v>
      </c>
      <c r="F20" s="8" t="s">
        <v>1595</v>
      </c>
    </row>
    <row r="21" spans="1:11" x14ac:dyDescent="0.35">
      <c r="A21" s="28" t="s">
        <v>1604</v>
      </c>
      <c r="B21" s="19" t="s">
        <v>1608</v>
      </c>
      <c r="C21" s="19" t="s">
        <v>1598</v>
      </c>
      <c r="D21" s="22">
        <v>5000</v>
      </c>
      <c r="E21" s="20"/>
      <c r="F21" s="19" t="s">
        <v>1595</v>
      </c>
      <c r="K21" s="24"/>
    </row>
    <row r="22" spans="1:11" x14ac:dyDescent="0.35">
      <c r="A22" s="28" t="s">
        <v>1605</v>
      </c>
      <c r="B22" s="19" t="s">
        <v>1608</v>
      </c>
      <c r="C22" s="19" t="s">
        <v>1598</v>
      </c>
      <c r="D22" s="22">
        <v>4100</v>
      </c>
      <c r="E22" s="20"/>
      <c r="F22" s="19" t="s">
        <v>1595</v>
      </c>
      <c r="K22" s="24"/>
    </row>
    <row r="23" spans="1:11" x14ac:dyDescent="0.35">
      <c r="A23" s="26" t="s">
        <v>1606</v>
      </c>
      <c r="B23" s="8" t="s">
        <v>69</v>
      </c>
      <c r="C23" s="8" t="s">
        <v>1535</v>
      </c>
      <c r="D23" s="6">
        <v>1500</v>
      </c>
      <c r="F23" s="8" t="s">
        <v>1595</v>
      </c>
      <c r="K23" s="24"/>
    </row>
    <row r="24" spans="1:11" x14ac:dyDescent="0.35">
      <c r="A24" s="25" t="s">
        <v>1607</v>
      </c>
      <c r="B24" s="8" t="s">
        <v>69</v>
      </c>
      <c r="C24" s="8" t="s">
        <v>1535</v>
      </c>
      <c r="D24" s="6">
        <v>1500</v>
      </c>
      <c r="F24" s="8" t="s">
        <v>1595</v>
      </c>
    </row>
    <row r="25" spans="1:11" x14ac:dyDescent="0.35">
      <c r="D25" s="7">
        <f>SUM(D2:D24)</f>
        <v>992400</v>
      </c>
    </row>
    <row r="27" spans="1:11" x14ac:dyDescent="0.35">
      <c r="D27" s="6">
        <v>17085999</v>
      </c>
    </row>
    <row r="28" spans="1:11" x14ac:dyDescent="0.35">
      <c r="D28" s="33">
        <f>D25</f>
        <v>992400</v>
      </c>
      <c r="E28" s="24">
        <f>SUM(D27-D28)</f>
        <v>16093599</v>
      </c>
    </row>
    <row r="30" spans="1:11" x14ac:dyDescent="0.35">
      <c r="D30" s="29">
        <v>18078399</v>
      </c>
    </row>
    <row r="31" spans="1:11" x14ac:dyDescent="0.35">
      <c r="E31" s="24">
        <f>SUM(D27-D30)</f>
        <v>-992400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KIP Grants</vt:lpstr>
      <vt:lpstr>Legacy &amp; Special Initiatives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A. Rodriguez</dc:creator>
  <cp:lastModifiedBy>Mark A. Rodriguez</cp:lastModifiedBy>
  <dcterms:created xsi:type="dcterms:W3CDTF">2025-11-28T08:46:24Z</dcterms:created>
  <dcterms:modified xsi:type="dcterms:W3CDTF">2025-11-28T21:14:40Z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2025-11-28T03:31:25-05:00</dcterms:created>
  <dcterms:modified xsi:type="dcterms:W3CDTF">2025-11-28T03:31:25-05:00</dcterms:modified>
  <cp:revision>0</cp:revision>
</cp:coreProperties>
</file>